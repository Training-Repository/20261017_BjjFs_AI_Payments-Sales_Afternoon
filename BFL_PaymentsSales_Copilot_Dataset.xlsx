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chant Lead Pipeline" sheetId="1" state="visible" r:id="rId3"/>
    <sheet name="Activation &amp; Usage" sheetId="2" state="visible" r:id="rId4"/>
    <sheet name="Field Visit Log" sheetId="3" state="visible" r:id="rId5"/>
    <sheet name="FOS Performance" sheetId="4" state="visible" r:id="rId6"/>
    <sheet name="Merchant Que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<sst xmlns="http://schemas.openxmlformats.org/spreadsheetml/2006/main" count="663" uniqueCount="246">
  <si>
    <t xml:space="preserve">BFL Payments (Sales) — Merchant Lead &amp; Onboarding Pipeline</t>
  </si>
  <si>
    <t xml:space="preserve">Leads 1–24 Sep 2026 | West cluster | Stage as of 30 Sep 2026 | Merchant names are fictional | Synthetic training data</t>
  </si>
  <si>
    <t xml:space="preserve">Merchant ID</t>
  </si>
  <si>
    <t xml:space="preserve">Merchant Name</t>
  </si>
  <si>
    <t xml:space="preserve">Category</t>
  </si>
  <si>
    <t xml:space="preserve">Area</t>
  </si>
  <si>
    <t xml:space="preserve">Product</t>
  </si>
  <si>
    <t xml:space="preserve">FOS</t>
  </si>
  <si>
    <t xml:space="preserve">Lead Date</t>
  </si>
  <si>
    <t xml:space="preserve">KYC Done</t>
  </si>
  <si>
    <t xml:space="preserve">Installed On</t>
  </si>
  <si>
    <t xml:space="preserve">First Txn On</t>
  </si>
  <si>
    <t xml:space="preserve">Stage</t>
  </si>
  <si>
    <t xml:space="preserve">Next Action</t>
  </si>
  <si>
    <t xml:space="preserve">MER-4101</t>
  </si>
  <si>
    <t xml:space="preserve">Shree Ganesh Kirana</t>
  </si>
  <si>
    <t xml:space="preserve">Kirana / Grocery</t>
  </si>
  <si>
    <t xml:space="preserve">Pune West</t>
  </si>
  <si>
    <t xml:space="preserve">UPI QR + Soundbox</t>
  </si>
  <si>
    <t xml:space="preserve">Akash Shinde</t>
  </si>
  <si>
    <t xml:space="preserve">Transacting</t>
  </si>
  <si>
    <t xml:space="preserve">Usage check-in in 30 days</t>
  </si>
  <si>
    <t xml:space="preserve">MER-4102</t>
  </si>
  <si>
    <t xml:space="preserve">Fresh Basket Fruits</t>
  </si>
  <si>
    <t xml:space="preserve">Fruits &amp; Vegetables</t>
  </si>
  <si>
    <t xml:space="preserve">MER-4103</t>
  </si>
  <si>
    <t xml:space="preserve">Sai Medical &amp; General</t>
  </si>
  <si>
    <t xml:space="preserve">Pharmacy</t>
  </si>
  <si>
    <t xml:space="preserve">Pune East</t>
  </si>
  <si>
    <t xml:space="preserve">Android POS</t>
  </si>
  <si>
    <t xml:space="preserve">Priya Jagtap</t>
  </si>
  <si>
    <t xml:space="preserve">MER-4104</t>
  </si>
  <si>
    <t xml:space="preserve">Hotel Annapurna</t>
  </si>
  <si>
    <t xml:space="preserve">Restaurant</t>
  </si>
  <si>
    <t xml:space="preserve">Installed – No Txn</t>
  </si>
  <si>
    <t xml:space="preserve">Revisit: demo first transaction, check settlement account</t>
  </si>
  <si>
    <t xml:space="preserve">MER-4105</t>
  </si>
  <si>
    <t xml:space="preserve">Raj Mobile Point</t>
  </si>
  <si>
    <t xml:space="preserve">Electronics / Mobile</t>
  </si>
  <si>
    <t xml:space="preserve">Mumbai Andheri</t>
  </si>
  <si>
    <t xml:space="preserve">Imran Qureshi</t>
  </si>
  <si>
    <t xml:space="preserve">MER-4106</t>
  </si>
  <si>
    <t xml:space="preserve">Laxmi Saree Centre</t>
  </si>
  <si>
    <t xml:space="preserve">Apparel</t>
  </si>
  <si>
    <t xml:space="preserve">Mumbai Dadar</t>
  </si>
  <si>
    <t xml:space="preserve">Kavita Sawant</t>
  </si>
  <si>
    <t xml:space="preserve">MER-4107</t>
  </si>
  <si>
    <t xml:space="preserve">Patil Auto Spares</t>
  </si>
  <si>
    <t xml:space="preserve">Auto Parts</t>
  </si>
  <si>
    <t xml:space="preserve">Nashik</t>
  </si>
  <si>
    <t xml:space="preserve">UPI QR</t>
  </si>
  <si>
    <t xml:space="preserve">Rohit Deore</t>
  </si>
  <si>
    <t xml:space="preserve">MER-4108</t>
  </si>
  <si>
    <t xml:space="preserve">Cafe Brewster</t>
  </si>
  <si>
    <t xml:space="preserve">MER-4109</t>
  </si>
  <si>
    <t xml:space="preserve">Om Sweets &amp; Farsan</t>
  </si>
  <si>
    <t xml:space="preserve">Sweets / Bakery</t>
  </si>
  <si>
    <t xml:space="preserve">MER-4110</t>
  </si>
  <si>
    <t xml:space="preserve">Gupta Hardware</t>
  </si>
  <si>
    <t xml:space="preserve">Hardware</t>
  </si>
  <si>
    <t xml:space="preserve">MER-4111</t>
  </si>
  <si>
    <t xml:space="preserve">Smile Dental Clinic</t>
  </si>
  <si>
    <t xml:space="preserve">Clinic</t>
  </si>
  <si>
    <t xml:space="preserve">Payment Link</t>
  </si>
  <si>
    <t xml:space="preserve">MER-4112</t>
  </si>
  <si>
    <t xml:space="preserve">Krishna Dairy</t>
  </si>
  <si>
    <t xml:space="preserve">Dairy</t>
  </si>
  <si>
    <t xml:space="preserve">MER-4113</t>
  </si>
  <si>
    <t xml:space="preserve">Urban Salon</t>
  </si>
  <si>
    <t xml:space="preserve">Salon / Spa</t>
  </si>
  <si>
    <t xml:space="preserve">MER-4114</t>
  </si>
  <si>
    <t xml:space="preserve">Mahalaxmi Jewellers</t>
  </si>
  <si>
    <t xml:space="preserve">Jewellery</t>
  </si>
  <si>
    <t xml:space="preserve">MER-4115</t>
  </si>
  <si>
    <t xml:space="preserve">Balaji Stationers</t>
  </si>
  <si>
    <t xml:space="preserve">Stationery</t>
  </si>
  <si>
    <t xml:space="preserve">MER-4116</t>
  </si>
  <si>
    <t xml:space="preserve">FitZone Gym</t>
  </si>
  <si>
    <t xml:space="preserve">Fitness</t>
  </si>
  <si>
    <t xml:space="preserve">MER-4117</t>
  </si>
  <si>
    <t xml:space="preserve">Royal Pan Shop</t>
  </si>
  <si>
    <t xml:space="preserve">Pan / Tobacco</t>
  </si>
  <si>
    <t xml:space="preserve">MER-4118</t>
  </si>
  <si>
    <t xml:space="preserve">Green Leaf Restaurant</t>
  </si>
  <si>
    <t xml:space="preserve">MER-4119</t>
  </si>
  <si>
    <t xml:space="preserve">Classic Footwear</t>
  </si>
  <si>
    <t xml:space="preserve">Footwear</t>
  </si>
  <si>
    <t xml:space="preserve">Install device; confirm stock</t>
  </si>
  <si>
    <t xml:space="preserve">MER-4120</t>
  </si>
  <si>
    <t xml:space="preserve">Ayush Ayurvedic Store</t>
  </si>
  <si>
    <t xml:space="preserve">MER-4121</t>
  </si>
  <si>
    <t xml:space="preserve">Speedy Car Wash</t>
  </si>
  <si>
    <t xml:space="preserve">Services</t>
  </si>
  <si>
    <t xml:space="preserve">MER-4122</t>
  </si>
  <si>
    <t xml:space="preserve">New India Bakery</t>
  </si>
  <si>
    <t xml:space="preserve">KYC Pending</t>
  </si>
  <si>
    <t xml:space="preserve">Collect pending KYC documents</t>
  </si>
  <si>
    <t xml:space="preserve">MER-4123</t>
  </si>
  <si>
    <t xml:space="preserve">Tanishq Opticals</t>
  </si>
  <si>
    <t xml:space="preserve">Optical</t>
  </si>
  <si>
    <t xml:space="preserve">MER-4124</t>
  </si>
  <si>
    <t xml:space="preserve">Hari Om Provision</t>
  </si>
  <si>
    <t xml:space="preserve">MER-4125</t>
  </si>
  <si>
    <t xml:space="preserve">Star Electronics</t>
  </si>
  <si>
    <t xml:space="preserve">BFL Payments (Sales) — Activation &amp; Usage Tracker, September 2026</t>
  </si>
  <si>
    <t xml:space="preserve">Activation = at least one transaction since install | Usage Band (active merchants only) on Sep TPV: High ≥ ₹2,00,000 · Medium ₹50,000–1,99,999 · Low &lt; ₹50,000 | Synthetic training data</t>
  </si>
  <si>
    <t xml:space="preserve">Sep TPV (₹)</t>
  </si>
  <si>
    <t xml:space="preserve">Sep Txn Count</t>
  </si>
  <si>
    <t xml:space="preserve">Avg Ticket (₹)</t>
  </si>
  <si>
    <t xml:space="preserve">Days Since Install (30 Sep)</t>
  </si>
  <si>
    <t xml:space="preserve">Activation Status</t>
  </si>
  <si>
    <t xml:space="preserve">Usage Band</t>
  </si>
  <si>
    <t xml:space="preserve">Active</t>
  </si>
  <si>
    <t xml:space="preserve">Inactive</t>
  </si>
  <si>
    <t xml:space="preserve">BFL Payments (Sales) — FOS Field Visit Log</t>
  </si>
  <si>
    <t xml:space="preserve">Visits 21–30 Sep 2026 | West cluster | Synthetic training data</t>
  </si>
  <si>
    <t xml:space="preserve">Visit ID</t>
  </si>
  <si>
    <t xml:space="preserve">Visit Date</t>
  </si>
  <si>
    <t xml:space="preserve">Merchant / Prospect</t>
  </si>
  <si>
    <t xml:space="preserve">Purpose</t>
  </si>
  <si>
    <t xml:space="preserve">Outcome</t>
  </si>
  <si>
    <t xml:space="preserve">Objection Raised</t>
  </si>
  <si>
    <t xml:space="preserve">Follow-up Date</t>
  </si>
  <si>
    <t xml:space="preserve">Notes</t>
  </si>
  <si>
    <t xml:space="preserve">FV-801</t>
  </si>
  <si>
    <t xml:space="preserve">Activation revisit</t>
  </si>
  <si>
    <t xml:space="preserve">No transaction yet</t>
  </si>
  <si>
    <t xml:space="preserve">Customers pay cash</t>
  </si>
  <si>
    <t xml:space="preserve">—</t>
  </si>
  <si>
    <t xml:space="preserve">Owner unsure how to show QR; asked for counter standee</t>
  </si>
  <si>
    <t xml:space="preserve">FV-802</t>
  </si>
  <si>
    <t xml:space="preserve">KYC follow-up</t>
  </si>
  <si>
    <t xml:space="preserve">Docs collected</t>
  </si>
  <si>
    <t xml:space="preserve">Shop licence collected; install fixed for 24 Sep</t>
  </si>
  <si>
    <t xml:space="preserve">FV-803</t>
  </si>
  <si>
    <t xml:space="preserve">Settlement takes too long</t>
  </si>
  <si>
    <t xml:space="preserve">Wants same-day settlement; explained T+1</t>
  </si>
  <si>
    <t xml:space="preserve">FV-804</t>
  </si>
  <si>
    <t xml:space="preserve">Soundbox rental too high</t>
  </si>
  <si>
    <t xml:space="preserve">Compared with a competitor's free soundbox</t>
  </si>
  <si>
    <t xml:space="preserve">FV-805</t>
  </si>
  <si>
    <t xml:space="preserve">New lead</t>
  </si>
  <si>
    <t xml:space="preserve">KYC pending</t>
  </si>
  <si>
    <t xml:space="preserve">Needs GST certificate time</t>
  </si>
  <si>
    <t xml:space="preserve">Owner travelling; son to share documents</t>
  </si>
  <si>
    <t xml:space="preserve">FV-806</t>
  </si>
  <si>
    <t xml:space="preserve">First txn expected</t>
  </si>
  <si>
    <t xml:space="preserve">Not sure about charges</t>
  </si>
  <si>
    <t xml:space="preserve">Explained zero MDR on UPI; demo done</t>
  </si>
  <si>
    <t xml:space="preserve">FV-807</t>
  </si>
  <si>
    <t xml:space="preserve">Install</t>
  </si>
  <si>
    <t xml:space="preserve">Install failed</t>
  </si>
  <si>
    <t xml:space="preserve">Device out of stock at hub</t>
  </si>
  <si>
    <t xml:space="preserve">FV-808</t>
  </si>
  <si>
    <t xml:space="preserve">Usage check</t>
  </si>
  <si>
    <t xml:space="preserve">Wants card on POS for tips</t>
  </si>
  <si>
    <t xml:space="preserve">Showed tip-entry option on POS</t>
  </si>
  <si>
    <t xml:space="preserve">FV-809</t>
  </si>
  <si>
    <t xml:space="preserve">Upsell</t>
  </si>
  <si>
    <t xml:space="preserve">Interested in soundbox</t>
  </si>
  <si>
    <t xml:space="preserve">High POS usage; pitched soundbox for UPI counter</t>
  </si>
  <si>
    <t xml:space="preserve">FV-810</t>
  </si>
  <si>
    <t xml:space="preserve">Settlement mismatch query</t>
  </si>
  <si>
    <t xml:space="preserve">Raised ticket for one settlement difference</t>
  </si>
  <si>
    <t xml:space="preserve">FV-811</t>
  </si>
  <si>
    <t xml:space="preserve">Prospect: Vishal Medicals</t>
  </si>
  <si>
    <t xml:space="preserve">Cold visit</t>
  </si>
  <si>
    <t xml:space="preserve">Interested</t>
  </si>
  <si>
    <t xml:space="preserve">Already uses another QR</t>
  </si>
  <si>
    <t xml:space="preserve">Pitched soundbox with Marathi voice alerts</t>
  </si>
  <si>
    <t xml:space="preserve">FV-812</t>
  </si>
  <si>
    <t xml:space="preserve">Wants EMI on card</t>
  </si>
  <si>
    <t xml:space="preserve">Asked about EMI conversion on POS</t>
  </si>
  <si>
    <t xml:space="preserve">FV-813</t>
  </si>
  <si>
    <t xml:space="preserve">Installed</t>
  </si>
  <si>
    <t xml:space="preserve">Installed 29 Sep; first txn to be demonstrated</t>
  </si>
  <si>
    <t xml:space="preserve">FV-814</t>
  </si>
  <si>
    <t xml:space="preserve">Still not using; second revisit, escalate to TL</t>
  </si>
  <si>
    <t xml:space="preserve">FV-815</t>
  </si>
  <si>
    <t xml:space="preserve">Second revisit; no change</t>
  </si>
  <si>
    <t xml:space="preserve">BFL Payments (Sales) — FOS Performance, Jul–Sep 2026</t>
  </si>
  <si>
    <t xml:space="preserve">Targets: Onboarding 100% of target · Activation within 7 days ≥ 80% | Synthetic training data</t>
  </si>
  <si>
    <t xml:space="preserve">Month</t>
  </si>
  <si>
    <t xml:space="preserve">Team Lead</t>
  </si>
  <si>
    <t xml:space="preserve">Onboarding Target</t>
  </si>
  <si>
    <t xml:space="preserve">Merchants Onboarded</t>
  </si>
  <si>
    <t xml:space="preserve">Onboarding Achievement %</t>
  </si>
  <si>
    <t xml:space="preserve">Activated within 7 Days</t>
  </si>
  <si>
    <t xml:space="preserve">Activation % (7 days)</t>
  </si>
  <si>
    <t xml:space="preserve">New TPV (₹ lakh)</t>
  </si>
  <si>
    <t xml:space="preserve">Field Visits</t>
  </si>
  <si>
    <t xml:space="preserve">Jul 2026</t>
  </si>
  <si>
    <t xml:space="preserve">Sachin Kale</t>
  </si>
  <si>
    <t xml:space="preserve">Neha Rao</t>
  </si>
  <si>
    <t xml:space="preserve">Aug 2026</t>
  </si>
  <si>
    <t xml:space="preserve">Sep 2026</t>
  </si>
  <si>
    <t xml:space="preserve">BFL Payments (Sales) — Merchant Queries &amp; Objections Log</t>
  </si>
  <si>
    <t xml:space="preserve">Raised 15–30 Sep 2026 | Days Open counted to 30 Sep 2026 for unresolved queries | Synthetic training data</t>
  </si>
  <si>
    <t xml:space="preserve">Query ID</t>
  </si>
  <si>
    <t xml:space="preserve">Date</t>
  </si>
  <si>
    <t xml:space="preserve">Merchant</t>
  </si>
  <si>
    <t xml:space="preserve">Channel</t>
  </si>
  <si>
    <t xml:space="preserve">Query / Objection</t>
  </si>
  <si>
    <t xml:space="preserve">Resolved?</t>
  </si>
  <si>
    <t xml:space="preserve">Days Open</t>
  </si>
  <si>
    <t xml:space="preserve">MQ-301</t>
  </si>
  <si>
    <t xml:space="preserve">WhatsApp</t>
  </si>
  <si>
    <t xml:space="preserve">Can customers convert card payments to EMI on the POS?</t>
  </si>
  <si>
    <t xml:space="preserve">Product feature</t>
  </si>
  <si>
    <t xml:space="preserve">Yes</t>
  </si>
  <si>
    <t xml:space="preserve">MQ-302</t>
  </si>
  <si>
    <t xml:space="preserve">Visit</t>
  </si>
  <si>
    <t xml:space="preserve">Why is settlement next day and not same day?</t>
  </si>
  <si>
    <t xml:space="preserve">Settlement</t>
  </si>
  <si>
    <t xml:space="preserve">No</t>
  </si>
  <si>
    <t xml:space="preserve">MQ-303</t>
  </si>
  <si>
    <t xml:space="preserve">Call</t>
  </si>
  <si>
    <t xml:space="preserve">Competitor gives soundbox free; why pay rental?</t>
  </si>
  <si>
    <t xml:space="preserve">Pricing</t>
  </si>
  <si>
    <t xml:space="preserve">MQ-304</t>
  </si>
  <si>
    <t xml:space="preserve">One day's settlement is ₹1,200 less than sales</t>
  </si>
  <si>
    <t xml:space="preserve">MQ-305</t>
  </si>
  <si>
    <t xml:space="preserve">Can the soundbox announce in Marathi?</t>
  </si>
  <si>
    <t xml:space="preserve">MQ-306</t>
  </si>
  <si>
    <t xml:space="preserve">Email</t>
  </si>
  <si>
    <t xml:space="preserve">What is the charge on credit card payments?</t>
  </si>
  <si>
    <t xml:space="preserve">MQ-307</t>
  </si>
  <si>
    <t xml:space="preserve">Customers prefer cash; how will QR help me?</t>
  </si>
  <si>
    <t xml:space="preserve">Value / adoption</t>
  </si>
  <si>
    <t xml:space="preserve">MQ-308</t>
  </si>
  <si>
    <t xml:space="preserve">Can I send a payment link on WhatsApp to patients?</t>
  </si>
  <si>
    <t xml:space="preserve">MQ-309</t>
  </si>
  <si>
    <t xml:space="preserve">Are there any charges on UPI payments?</t>
  </si>
  <si>
    <t xml:space="preserve">MQ-310</t>
  </si>
  <si>
    <t xml:space="preserve">Device not delivered even after KYC</t>
  </si>
  <si>
    <t xml:space="preserve">Install / device</t>
  </si>
  <si>
    <t xml:space="preserve">MQ-311</t>
  </si>
  <si>
    <t xml:space="preserve">Large card payments: is there a per-transaction limit?</t>
  </si>
  <si>
    <t xml:space="preserve">MQ-312</t>
  </si>
  <si>
    <t xml:space="preserve">POS installed but shows 'terminal not activated'</t>
  </si>
  <si>
    <t xml:space="preserve">MQ-313</t>
  </si>
  <si>
    <t xml:space="preserve">Soundbox battery drains by evening</t>
  </si>
  <si>
    <t xml:space="preserve">MQ-314</t>
  </si>
  <si>
    <t xml:space="preserve">How do I see my daily settlement report?</t>
  </si>
  <si>
    <t xml:space="preserve">MQ-315</t>
  </si>
  <si>
    <t xml:space="preserve">Can I accept payments on my mobile instead of POS?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</si>
</sst>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 mmm\ yyyy"/>
    <numFmt numFmtId="166" formatCode="#,##0"/>
    <numFmt numFmtId="167" formatCode="0"/>
    <numFmt numFmtId="168" formatCode="0.0"/>
    <numFmt numFmtId="169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10" min="7" style="0" width="12"/>
    <col collapsed="false" customWidth="true" hidden="false" outlineLevel="0" max="11" min="11" style="0" width="15"/>
    <col collapsed="false" customWidth="true" hidden="false" outlineLevel="0" max="12" min="12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n">
        <v>46266</v>
      </c>
      <c r="H5" s="5" t="n">
        <v>46267</v>
      </c>
      <c r="I5" s="5" t="n">
        <v>46269</v>
      </c>
      <c r="J5" s="5" t="n">
        <v>46269</v>
      </c>
      <c r="K5" s="4" t="s">
        <v>20</v>
      </c>
      <c r="L5" s="4" t="s">
        <v>21</v>
      </c>
    </row>
    <row r="6" customFormat="false" ht="15" hidden="false" customHeight="false" outlineLevel="0" collapsed="false">
      <c r="A6" s="6" t="s">
        <v>22</v>
      </c>
      <c r="B6" s="6" t="s">
        <v>23</v>
      </c>
      <c r="C6" s="6" t="s">
        <v>24</v>
      </c>
      <c r="D6" s="6" t="s">
        <v>17</v>
      </c>
      <c r="E6" s="6" t="s">
        <v>18</v>
      </c>
      <c r="F6" s="6" t="s">
        <v>19</v>
      </c>
      <c r="G6" s="7" t="n">
        <v>46267</v>
      </c>
      <c r="H6" s="7" t="n">
        <v>46268</v>
      </c>
      <c r="I6" s="7" t="n">
        <v>46271</v>
      </c>
      <c r="J6" s="7" t="n">
        <v>46272</v>
      </c>
      <c r="K6" s="6" t="s">
        <v>20</v>
      </c>
      <c r="L6" s="6" t="s">
        <v>21</v>
      </c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5" t="n">
        <v>46267</v>
      </c>
      <c r="H7" s="5" t="n">
        <v>46270</v>
      </c>
      <c r="I7" s="5" t="n">
        <v>46275</v>
      </c>
      <c r="J7" s="5" t="n">
        <v>46276</v>
      </c>
      <c r="K7" s="4" t="s">
        <v>20</v>
      </c>
      <c r="L7" s="4" t="s">
        <v>21</v>
      </c>
    </row>
    <row r="8" customFormat="false" ht="15" hidden="false" customHeight="false" outlineLevel="0" collapsed="false">
      <c r="A8" s="6" t="s">
        <v>31</v>
      </c>
      <c r="B8" s="6" t="s">
        <v>32</v>
      </c>
      <c r="C8" s="6" t="s">
        <v>33</v>
      </c>
      <c r="D8" s="6" t="s">
        <v>28</v>
      </c>
      <c r="E8" s="6" t="s">
        <v>29</v>
      </c>
      <c r="F8" s="6" t="s">
        <v>30</v>
      </c>
      <c r="G8" s="7" t="n">
        <v>46268</v>
      </c>
      <c r="H8" s="7" t="n">
        <v>46271</v>
      </c>
      <c r="I8" s="7" t="n">
        <v>46278</v>
      </c>
      <c r="J8" s="7"/>
      <c r="K8" s="6" t="s">
        <v>34</v>
      </c>
      <c r="L8" s="6" t="s">
        <v>35</v>
      </c>
    </row>
    <row r="9" customFormat="false" ht="15" hidden="false" customHeight="false" outlineLevel="0" collapsed="false">
      <c r="A9" s="4" t="s">
        <v>36</v>
      </c>
      <c r="B9" s="4" t="s">
        <v>37</v>
      </c>
      <c r="C9" s="4" t="s">
        <v>38</v>
      </c>
      <c r="D9" s="4" t="s">
        <v>39</v>
      </c>
      <c r="E9" s="4" t="s">
        <v>29</v>
      </c>
      <c r="F9" s="4" t="s">
        <v>40</v>
      </c>
      <c r="G9" s="5" t="n">
        <v>46268</v>
      </c>
      <c r="H9" s="5" t="n">
        <v>46269</v>
      </c>
      <c r="I9" s="5" t="n">
        <v>46273</v>
      </c>
      <c r="J9" s="5" t="n">
        <v>46273</v>
      </c>
      <c r="K9" s="4" t="s">
        <v>20</v>
      </c>
      <c r="L9" s="4" t="s">
        <v>21</v>
      </c>
    </row>
    <row r="10" customFormat="false" ht="15" hidden="false" customHeight="false" outlineLevel="0" collapsed="false">
      <c r="A10" s="6" t="s">
        <v>41</v>
      </c>
      <c r="B10" s="6" t="s">
        <v>42</v>
      </c>
      <c r="C10" s="6" t="s">
        <v>43</v>
      </c>
      <c r="D10" s="6" t="s">
        <v>44</v>
      </c>
      <c r="E10" s="6" t="s">
        <v>18</v>
      </c>
      <c r="F10" s="6" t="s">
        <v>45</v>
      </c>
      <c r="G10" s="7" t="n">
        <v>46269</v>
      </c>
      <c r="H10" s="7" t="n">
        <v>46274</v>
      </c>
      <c r="I10" s="7" t="n">
        <v>46280</v>
      </c>
      <c r="J10" s="7" t="n">
        <v>46281</v>
      </c>
      <c r="K10" s="6" t="s">
        <v>20</v>
      </c>
      <c r="L10" s="6" t="s">
        <v>21</v>
      </c>
    </row>
    <row r="11" customFormat="false" ht="15" hidden="false" customHeight="false" outlineLevel="0" collapsed="false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5" t="n">
        <v>46269</v>
      </c>
      <c r="H11" s="5" t="n">
        <v>46270</v>
      </c>
      <c r="I11" s="5" t="n">
        <v>46271</v>
      </c>
      <c r="J11" s="5" t="n">
        <v>46274</v>
      </c>
      <c r="K11" s="4" t="s">
        <v>20</v>
      </c>
      <c r="L11" s="4" t="s">
        <v>21</v>
      </c>
    </row>
    <row r="12" customFormat="false" ht="15" hidden="false" customHeight="false" outlineLevel="0" collapsed="false">
      <c r="A12" s="6" t="s">
        <v>52</v>
      </c>
      <c r="B12" s="6" t="s">
        <v>53</v>
      </c>
      <c r="C12" s="6" t="s">
        <v>33</v>
      </c>
      <c r="D12" s="6" t="s">
        <v>39</v>
      </c>
      <c r="E12" s="6" t="s">
        <v>29</v>
      </c>
      <c r="F12" s="6" t="s">
        <v>40</v>
      </c>
      <c r="G12" s="7" t="n">
        <v>46270</v>
      </c>
      <c r="H12" s="7" t="n">
        <v>46271</v>
      </c>
      <c r="I12" s="7" t="n">
        <v>46274</v>
      </c>
      <c r="J12" s="7" t="n">
        <v>46274</v>
      </c>
      <c r="K12" s="6" t="s">
        <v>20</v>
      </c>
      <c r="L12" s="6" t="s">
        <v>21</v>
      </c>
    </row>
    <row r="13" customFormat="false" ht="15" hidden="false" customHeight="false" outlineLevel="0" collapsed="false">
      <c r="A13" s="4" t="s">
        <v>54</v>
      </c>
      <c r="B13" s="4" t="s">
        <v>55</v>
      </c>
      <c r="C13" s="4" t="s">
        <v>56</v>
      </c>
      <c r="D13" s="4" t="s">
        <v>17</v>
      </c>
      <c r="E13" s="4" t="s">
        <v>18</v>
      </c>
      <c r="F13" s="4" t="s">
        <v>19</v>
      </c>
      <c r="G13" s="5" t="n">
        <v>46271</v>
      </c>
      <c r="H13" s="5" t="n">
        <v>46272</v>
      </c>
      <c r="I13" s="5" t="n">
        <v>46275</v>
      </c>
      <c r="J13" s="5" t="n">
        <v>46275</v>
      </c>
      <c r="K13" s="4" t="s">
        <v>20</v>
      </c>
      <c r="L13" s="4" t="s">
        <v>21</v>
      </c>
    </row>
    <row r="14" customFormat="false" ht="15" hidden="false" customHeight="false" outlineLevel="0" collapsed="false">
      <c r="A14" s="6" t="s">
        <v>57</v>
      </c>
      <c r="B14" s="6" t="s">
        <v>58</v>
      </c>
      <c r="C14" s="6" t="s">
        <v>59</v>
      </c>
      <c r="D14" s="6" t="s">
        <v>49</v>
      </c>
      <c r="E14" s="6" t="s">
        <v>18</v>
      </c>
      <c r="F14" s="6" t="s">
        <v>51</v>
      </c>
      <c r="G14" s="7" t="n">
        <v>46272</v>
      </c>
      <c r="H14" s="7" t="n">
        <v>46277</v>
      </c>
      <c r="I14" s="7" t="n">
        <v>46285</v>
      </c>
      <c r="J14" s="7"/>
      <c r="K14" s="6" t="s">
        <v>34</v>
      </c>
      <c r="L14" s="6" t="s">
        <v>35</v>
      </c>
    </row>
    <row r="15" customFormat="false" ht="15" hidden="false" customHeight="false" outlineLevel="0" collapsed="false">
      <c r="A15" s="4" t="s">
        <v>60</v>
      </c>
      <c r="B15" s="4" t="s">
        <v>61</v>
      </c>
      <c r="C15" s="4" t="s">
        <v>62</v>
      </c>
      <c r="D15" s="4" t="s">
        <v>28</v>
      </c>
      <c r="E15" s="4" t="s">
        <v>63</v>
      </c>
      <c r="F15" s="4" t="s">
        <v>30</v>
      </c>
      <c r="G15" s="5" t="n">
        <v>46273</v>
      </c>
      <c r="H15" s="5" t="n">
        <v>46274</v>
      </c>
      <c r="I15" s="5" t="n">
        <v>46274</v>
      </c>
      <c r="J15" s="5" t="n">
        <v>46277</v>
      </c>
      <c r="K15" s="4" t="s">
        <v>20</v>
      </c>
      <c r="L15" s="4" t="s">
        <v>21</v>
      </c>
    </row>
    <row r="16" customFormat="false" ht="15" hidden="false" customHeight="false" outlineLevel="0" collapsed="false">
      <c r="A16" s="6" t="s">
        <v>64</v>
      </c>
      <c r="B16" s="6" t="s">
        <v>65</v>
      </c>
      <c r="C16" s="6" t="s">
        <v>66</v>
      </c>
      <c r="D16" s="6" t="s">
        <v>44</v>
      </c>
      <c r="E16" s="6" t="s">
        <v>18</v>
      </c>
      <c r="F16" s="6" t="s">
        <v>45</v>
      </c>
      <c r="G16" s="7" t="n">
        <v>46273</v>
      </c>
      <c r="H16" s="7" t="n">
        <v>46274</v>
      </c>
      <c r="I16" s="7" t="n">
        <v>46276</v>
      </c>
      <c r="J16" s="7" t="n">
        <v>46276</v>
      </c>
      <c r="K16" s="6" t="s">
        <v>20</v>
      </c>
      <c r="L16" s="6" t="s">
        <v>21</v>
      </c>
    </row>
    <row r="17" customFormat="false" ht="15" hidden="false" customHeight="false" outlineLevel="0" collapsed="false">
      <c r="A17" s="4" t="s">
        <v>67</v>
      </c>
      <c r="B17" s="4" t="s">
        <v>68</v>
      </c>
      <c r="C17" s="4" t="s">
        <v>69</v>
      </c>
      <c r="D17" s="4" t="s">
        <v>39</v>
      </c>
      <c r="E17" s="4" t="s">
        <v>29</v>
      </c>
      <c r="F17" s="4" t="s">
        <v>40</v>
      </c>
      <c r="G17" s="5" t="n">
        <v>46274</v>
      </c>
      <c r="H17" s="5" t="n">
        <v>46281</v>
      </c>
      <c r="I17" s="5" t="n">
        <v>46289</v>
      </c>
      <c r="J17" s="5"/>
      <c r="K17" s="4" t="s">
        <v>34</v>
      </c>
      <c r="L17" s="4" t="s">
        <v>35</v>
      </c>
    </row>
    <row r="18" customFormat="false" ht="15" hidden="false" customHeight="false" outlineLevel="0" collapsed="false">
      <c r="A18" s="6" t="s">
        <v>70</v>
      </c>
      <c r="B18" s="6" t="s">
        <v>71</v>
      </c>
      <c r="C18" s="6" t="s">
        <v>72</v>
      </c>
      <c r="D18" s="6" t="s">
        <v>49</v>
      </c>
      <c r="E18" s="6" t="s">
        <v>29</v>
      </c>
      <c r="F18" s="6" t="s">
        <v>51</v>
      </c>
      <c r="G18" s="7" t="n">
        <v>46275</v>
      </c>
      <c r="H18" s="7" t="n">
        <v>46279</v>
      </c>
      <c r="I18" s="7" t="n">
        <v>46283</v>
      </c>
      <c r="J18" s="7" t="n">
        <v>46284</v>
      </c>
      <c r="K18" s="6" t="s">
        <v>20</v>
      </c>
      <c r="L18" s="6" t="s">
        <v>21</v>
      </c>
    </row>
    <row r="19" customFormat="false" ht="15" hidden="false" customHeight="false" outlineLevel="0" collapsed="false">
      <c r="A19" s="4" t="s">
        <v>73</v>
      </c>
      <c r="B19" s="4" t="s">
        <v>74</v>
      </c>
      <c r="C19" s="4" t="s">
        <v>75</v>
      </c>
      <c r="D19" s="4" t="s">
        <v>17</v>
      </c>
      <c r="E19" s="4" t="s">
        <v>50</v>
      </c>
      <c r="F19" s="4" t="s">
        <v>19</v>
      </c>
      <c r="G19" s="5" t="n">
        <v>46276</v>
      </c>
      <c r="H19" s="5" t="n">
        <v>46277</v>
      </c>
      <c r="I19" s="5" t="n">
        <v>46278</v>
      </c>
      <c r="J19" s="5"/>
      <c r="K19" s="4" t="s">
        <v>34</v>
      </c>
      <c r="L19" s="4" t="s">
        <v>35</v>
      </c>
    </row>
    <row r="20" customFormat="false" ht="15" hidden="false" customHeight="false" outlineLevel="0" collapsed="false">
      <c r="A20" s="6" t="s">
        <v>76</v>
      </c>
      <c r="B20" s="6" t="s">
        <v>77</v>
      </c>
      <c r="C20" s="6" t="s">
        <v>78</v>
      </c>
      <c r="D20" s="6" t="s">
        <v>28</v>
      </c>
      <c r="E20" s="6" t="s">
        <v>63</v>
      </c>
      <c r="F20" s="6" t="s">
        <v>30</v>
      </c>
      <c r="G20" s="7" t="n">
        <v>46277</v>
      </c>
      <c r="H20" s="7" t="n">
        <v>46278</v>
      </c>
      <c r="I20" s="7" t="n">
        <v>46278</v>
      </c>
      <c r="J20" s="7" t="n">
        <v>46280</v>
      </c>
      <c r="K20" s="6" t="s">
        <v>20</v>
      </c>
      <c r="L20" s="6" t="s">
        <v>21</v>
      </c>
    </row>
    <row r="21" customFormat="false" ht="15" hidden="false" customHeight="false" outlineLevel="0" collapsed="false">
      <c r="A21" s="4" t="s">
        <v>79</v>
      </c>
      <c r="B21" s="4" t="s">
        <v>80</v>
      </c>
      <c r="C21" s="4" t="s">
        <v>81</v>
      </c>
      <c r="D21" s="4" t="s">
        <v>44</v>
      </c>
      <c r="E21" s="4" t="s">
        <v>50</v>
      </c>
      <c r="F21" s="4" t="s">
        <v>45</v>
      </c>
      <c r="G21" s="5" t="n">
        <v>46278</v>
      </c>
      <c r="H21" s="5" t="n">
        <v>46278</v>
      </c>
      <c r="I21" s="5" t="n">
        <v>46279</v>
      </c>
      <c r="J21" s="5" t="n">
        <v>46279</v>
      </c>
      <c r="K21" s="4" t="s">
        <v>20</v>
      </c>
      <c r="L21" s="4" t="s">
        <v>21</v>
      </c>
    </row>
    <row r="22" customFormat="false" ht="15" hidden="false" customHeight="false" outlineLevel="0" collapsed="false">
      <c r="A22" s="6" t="s">
        <v>82</v>
      </c>
      <c r="B22" s="6" t="s">
        <v>83</v>
      </c>
      <c r="C22" s="6" t="s">
        <v>33</v>
      </c>
      <c r="D22" s="6" t="s">
        <v>49</v>
      </c>
      <c r="E22" s="6" t="s">
        <v>29</v>
      </c>
      <c r="F22" s="6" t="s">
        <v>51</v>
      </c>
      <c r="G22" s="7" t="n">
        <v>46279</v>
      </c>
      <c r="H22" s="7" t="n">
        <v>46282</v>
      </c>
      <c r="I22" s="7" t="n">
        <v>46288</v>
      </c>
      <c r="J22" s="7" t="n">
        <v>46289</v>
      </c>
      <c r="K22" s="6" t="s">
        <v>20</v>
      </c>
      <c r="L22" s="6" t="s">
        <v>21</v>
      </c>
    </row>
    <row r="23" customFormat="false" ht="15" hidden="false" customHeight="false" outlineLevel="0" collapsed="false">
      <c r="A23" s="4" t="s">
        <v>84</v>
      </c>
      <c r="B23" s="4" t="s">
        <v>85</v>
      </c>
      <c r="C23" s="4" t="s">
        <v>86</v>
      </c>
      <c r="D23" s="4" t="s">
        <v>39</v>
      </c>
      <c r="E23" s="4" t="s">
        <v>18</v>
      </c>
      <c r="F23" s="4" t="s">
        <v>40</v>
      </c>
      <c r="G23" s="5" t="n">
        <v>46280</v>
      </c>
      <c r="H23" s="5" t="n">
        <v>46287</v>
      </c>
      <c r="I23" s="5"/>
      <c r="J23" s="5"/>
      <c r="K23" s="4" t="s">
        <v>9</v>
      </c>
      <c r="L23" s="4" t="s">
        <v>87</v>
      </c>
    </row>
    <row r="24" customFormat="false" ht="15" hidden="false" customHeight="false" outlineLevel="0" collapsed="false">
      <c r="A24" s="6" t="s">
        <v>88</v>
      </c>
      <c r="B24" s="6" t="s">
        <v>89</v>
      </c>
      <c r="C24" s="6" t="s">
        <v>27</v>
      </c>
      <c r="D24" s="6" t="s">
        <v>17</v>
      </c>
      <c r="E24" s="6" t="s">
        <v>18</v>
      </c>
      <c r="F24" s="6" t="s">
        <v>19</v>
      </c>
      <c r="G24" s="7" t="n">
        <v>46281</v>
      </c>
      <c r="H24" s="7" t="n">
        <v>46282</v>
      </c>
      <c r="I24" s="7" t="n">
        <v>46284</v>
      </c>
      <c r="J24" s="7" t="n">
        <v>46291</v>
      </c>
      <c r="K24" s="6" t="s">
        <v>20</v>
      </c>
      <c r="L24" s="6" t="s">
        <v>21</v>
      </c>
    </row>
    <row r="25" customFormat="false" ht="15" hidden="false" customHeight="false" outlineLevel="0" collapsed="false">
      <c r="A25" s="4" t="s">
        <v>90</v>
      </c>
      <c r="B25" s="4" t="s">
        <v>91</v>
      </c>
      <c r="C25" s="4" t="s">
        <v>92</v>
      </c>
      <c r="D25" s="4" t="s">
        <v>28</v>
      </c>
      <c r="E25" s="4" t="s">
        <v>50</v>
      </c>
      <c r="F25" s="4" t="s">
        <v>30</v>
      </c>
      <c r="G25" s="5" t="n">
        <v>46282</v>
      </c>
      <c r="H25" s="5" t="n">
        <v>46283</v>
      </c>
      <c r="I25" s="5" t="n">
        <v>46284</v>
      </c>
      <c r="J25" s="5" t="n">
        <v>46284</v>
      </c>
      <c r="K25" s="4" t="s">
        <v>20</v>
      </c>
      <c r="L25" s="4" t="s">
        <v>21</v>
      </c>
    </row>
    <row r="26" customFormat="false" ht="15" hidden="false" customHeight="false" outlineLevel="0" collapsed="false">
      <c r="A26" s="6" t="s">
        <v>93</v>
      </c>
      <c r="B26" s="6" t="s">
        <v>94</v>
      </c>
      <c r="C26" s="6" t="s">
        <v>56</v>
      </c>
      <c r="D26" s="6" t="s">
        <v>44</v>
      </c>
      <c r="E26" s="6" t="s">
        <v>18</v>
      </c>
      <c r="F26" s="6" t="s">
        <v>45</v>
      </c>
      <c r="G26" s="7" t="n">
        <v>46283</v>
      </c>
      <c r="H26" s="7"/>
      <c r="I26" s="7"/>
      <c r="J26" s="7"/>
      <c r="K26" s="6" t="s">
        <v>95</v>
      </c>
      <c r="L26" s="6" t="s">
        <v>96</v>
      </c>
    </row>
    <row r="27" customFormat="false" ht="15" hidden="false" customHeight="false" outlineLevel="0" collapsed="false">
      <c r="A27" s="4" t="s">
        <v>97</v>
      </c>
      <c r="B27" s="4" t="s">
        <v>98</v>
      </c>
      <c r="C27" s="4" t="s">
        <v>99</v>
      </c>
      <c r="D27" s="4" t="s">
        <v>49</v>
      </c>
      <c r="E27" s="4" t="s">
        <v>29</v>
      </c>
      <c r="F27" s="4" t="s">
        <v>51</v>
      </c>
      <c r="G27" s="5" t="n">
        <v>46285</v>
      </c>
      <c r="H27" s="5" t="n">
        <v>46288</v>
      </c>
      <c r="I27" s="5" t="n">
        <v>46294</v>
      </c>
      <c r="J27" s="5"/>
      <c r="K27" s="4" t="s">
        <v>34</v>
      </c>
      <c r="L27" s="4" t="s">
        <v>35</v>
      </c>
    </row>
    <row r="28" customFormat="false" ht="15" hidden="false" customHeight="false" outlineLevel="0" collapsed="false">
      <c r="A28" s="6" t="s">
        <v>100</v>
      </c>
      <c r="B28" s="6" t="s">
        <v>101</v>
      </c>
      <c r="C28" s="6" t="s">
        <v>16</v>
      </c>
      <c r="D28" s="6" t="s">
        <v>17</v>
      </c>
      <c r="E28" s="6" t="s">
        <v>18</v>
      </c>
      <c r="F28" s="6" t="s">
        <v>19</v>
      </c>
      <c r="G28" s="7" t="n">
        <v>46287</v>
      </c>
      <c r="H28" s="7" t="n">
        <v>46288</v>
      </c>
      <c r="I28" s="7" t="n">
        <v>46290</v>
      </c>
      <c r="J28" s="7" t="n">
        <v>46290</v>
      </c>
      <c r="K28" s="6" t="s">
        <v>20</v>
      </c>
      <c r="L28" s="6" t="s">
        <v>21</v>
      </c>
    </row>
    <row r="29" customFormat="false" ht="15" hidden="false" customHeight="false" outlineLevel="0" collapsed="false">
      <c r="A29" s="4" t="s">
        <v>102</v>
      </c>
      <c r="B29" s="4" t="s">
        <v>103</v>
      </c>
      <c r="C29" s="4" t="s">
        <v>38</v>
      </c>
      <c r="D29" s="4" t="s">
        <v>39</v>
      </c>
      <c r="E29" s="4" t="s">
        <v>29</v>
      </c>
      <c r="F29" s="4" t="s">
        <v>40</v>
      </c>
      <c r="G29" s="5" t="n">
        <v>46289</v>
      </c>
      <c r="H29" s="5"/>
      <c r="I29" s="5"/>
      <c r="J29" s="5"/>
      <c r="K29" s="4" t="s">
        <v>95</v>
      </c>
      <c r="L29" s="4" t="s">
        <v>96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27.7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5</v>
      </c>
      <c r="D4" s="3" t="s">
        <v>6</v>
      </c>
      <c r="E4" s="3" t="s">
        <v>10</v>
      </c>
      <c r="F4" s="3" t="s">
        <v>106</v>
      </c>
      <c r="G4" s="3" t="s">
        <v>107</v>
      </c>
      <c r="H4" s="3" t="s">
        <v>108</v>
      </c>
      <c r="I4" s="3" t="s">
        <v>109</v>
      </c>
      <c r="J4" s="3" t="s">
        <v>110</v>
      </c>
      <c r="K4" s="3" t="s">
        <v>111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17</v>
      </c>
      <c r="D5" s="4" t="s">
        <v>18</v>
      </c>
      <c r="E5" s="5" t="n">
        <v>46269</v>
      </c>
      <c r="F5" s="8" t="n">
        <v>186400</v>
      </c>
      <c r="G5" s="8" t="n">
        <v>1240</v>
      </c>
      <c r="H5" s="8" t="n">
        <f aca="false">IF(G5=0,"",ROUND(F5/G5,0))</f>
        <v>150</v>
      </c>
      <c r="I5" s="9" t="n">
        <f aca="false">DATE(2026,9,30)-E5</f>
        <v>26</v>
      </c>
      <c r="J5" s="4" t="s">
        <v>112</v>
      </c>
      <c r="K5" s="4" t="str">
        <f aca="false">IF(J5="Inactive","",IF(F5&gt;=200000,"High",IF(F5&gt;=50000,"Medium","Low")))</f>
        <v>Medium</v>
      </c>
    </row>
    <row r="6" customFormat="false" ht="15" hidden="false" customHeight="false" outlineLevel="0" collapsed="false">
      <c r="A6" s="6" t="s">
        <v>22</v>
      </c>
      <c r="B6" s="6" t="s">
        <v>23</v>
      </c>
      <c r="C6" s="6" t="s">
        <v>17</v>
      </c>
      <c r="D6" s="6" t="s">
        <v>18</v>
      </c>
      <c r="E6" s="7" t="n">
        <v>46271</v>
      </c>
      <c r="F6" s="10" t="n">
        <v>92300</v>
      </c>
      <c r="G6" s="10" t="n">
        <v>980</v>
      </c>
      <c r="H6" s="10" t="n">
        <f aca="false">IF(G6=0,"",ROUND(F6/G6,0))</f>
        <v>94</v>
      </c>
      <c r="I6" s="11" t="n">
        <f aca="false">DATE(2026,9,30)-E6</f>
        <v>24</v>
      </c>
      <c r="J6" s="6" t="s">
        <v>112</v>
      </c>
      <c r="K6" s="6" t="str">
        <f aca="false">IF(J6="Inactive","",IF(F6&gt;=200000,"High",IF(F6&gt;=50000,"Medium","Low")))</f>
        <v>Medium</v>
      </c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28</v>
      </c>
      <c r="D7" s="4" t="s">
        <v>29</v>
      </c>
      <c r="E7" s="5" t="n">
        <v>46275</v>
      </c>
      <c r="F7" s="8" t="n">
        <v>412800</v>
      </c>
      <c r="G7" s="8" t="n">
        <v>610</v>
      </c>
      <c r="H7" s="8" t="n">
        <f aca="false">IF(G7=0,"",ROUND(F7/G7,0))</f>
        <v>677</v>
      </c>
      <c r="I7" s="9" t="n">
        <f aca="false">DATE(2026,9,30)-E7</f>
        <v>20</v>
      </c>
      <c r="J7" s="4" t="s">
        <v>112</v>
      </c>
      <c r="K7" s="4" t="str">
        <f aca="false">IF(J7="Inactive","",IF(F7&gt;=200000,"High",IF(F7&gt;=50000,"Medium","Low")))</f>
        <v>High</v>
      </c>
    </row>
    <row r="8" customFormat="false" ht="15" hidden="false" customHeight="false" outlineLevel="0" collapsed="false">
      <c r="A8" s="6" t="s">
        <v>31</v>
      </c>
      <c r="B8" s="6" t="s">
        <v>32</v>
      </c>
      <c r="C8" s="6" t="s">
        <v>28</v>
      </c>
      <c r="D8" s="6" t="s">
        <v>29</v>
      </c>
      <c r="E8" s="7" t="n">
        <v>46278</v>
      </c>
      <c r="F8" s="10" t="n">
        <v>0</v>
      </c>
      <c r="G8" s="10" t="n">
        <v>0</v>
      </c>
      <c r="H8" s="10" t="str">
        <f aca="false">IF(G8=0,"",ROUND(F8/G8,0))</f>
        <v/>
      </c>
      <c r="I8" s="11" t="n">
        <f aca="false">DATE(2026,9,30)-E8</f>
        <v>17</v>
      </c>
      <c r="J8" s="6" t="s">
        <v>113</v>
      </c>
      <c r="K8" s="6" t="str">
        <f aca="false">IF(J8="Inactive","",IF(F8&gt;=200000,"High",IF(F8&gt;=50000,"Medium","Low")))</f>
        <v/>
      </c>
    </row>
    <row r="9" customFormat="false" ht="15" hidden="false" customHeight="false" outlineLevel="0" collapsed="false">
      <c r="A9" s="4" t="s">
        <v>36</v>
      </c>
      <c r="B9" s="4" t="s">
        <v>37</v>
      </c>
      <c r="C9" s="4" t="s">
        <v>39</v>
      </c>
      <c r="D9" s="4" t="s">
        <v>29</v>
      </c>
      <c r="E9" s="5" t="n">
        <v>46273</v>
      </c>
      <c r="F9" s="8" t="n">
        <v>688500</v>
      </c>
      <c r="G9" s="8" t="n">
        <v>214</v>
      </c>
      <c r="H9" s="8" t="n">
        <f aca="false">IF(G9=0,"",ROUND(F9/G9,0))</f>
        <v>3217</v>
      </c>
      <c r="I9" s="9" t="n">
        <f aca="false">DATE(2026,9,30)-E9</f>
        <v>22</v>
      </c>
      <c r="J9" s="4" t="s">
        <v>112</v>
      </c>
      <c r="K9" s="4" t="str">
        <f aca="false">IF(J9="Inactive","",IF(F9&gt;=200000,"High",IF(F9&gt;=50000,"Medium","Low")))</f>
        <v>High</v>
      </c>
    </row>
    <row r="10" customFormat="false" ht="15" hidden="false" customHeight="false" outlineLevel="0" collapsed="false">
      <c r="A10" s="6" t="s">
        <v>41</v>
      </c>
      <c r="B10" s="6" t="s">
        <v>42</v>
      </c>
      <c r="C10" s="6" t="s">
        <v>44</v>
      </c>
      <c r="D10" s="6" t="s">
        <v>18</v>
      </c>
      <c r="E10" s="7" t="n">
        <v>46280</v>
      </c>
      <c r="F10" s="10" t="n">
        <v>143700</v>
      </c>
      <c r="G10" s="10" t="n">
        <v>321</v>
      </c>
      <c r="H10" s="10" t="n">
        <f aca="false">IF(G10=0,"",ROUND(F10/G10,0))</f>
        <v>448</v>
      </c>
      <c r="I10" s="11" t="n">
        <f aca="false">DATE(2026,9,30)-E10</f>
        <v>15</v>
      </c>
      <c r="J10" s="6" t="s">
        <v>112</v>
      </c>
      <c r="K10" s="6" t="str">
        <f aca="false">IF(J10="Inactive","",IF(F10&gt;=200000,"High",IF(F10&gt;=50000,"Medium","Low")))</f>
        <v>Medium</v>
      </c>
    </row>
    <row r="11" customFormat="false" ht="15" hidden="false" customHeight="false" outlineLevel="0" collapsed="false">
      <c r="A11" s="4" t="s">
        <v>46</v>
      </c>
      <c r="B11" s="4" t="s">
        <v>47</v>
      </c>
      <c r="C11" s="4" t="s">
        <v>49</v>
      </c>
      <c r="D11" s="4" t="s">
        <v>50</v>
      </c>
      <c r="E11" s="5" t="n">
        <v>46271</v>
      </c>
      <c r="F11" s="8" t="n">
        <v>61200</v>
      </c>
      <c r="G11" s="8" t="n">
        <v>148</v>
      </c>
      <c r="H11" s="8" t="n">
        <f aca="false">IF(G11=0,"",ROUND(F11/G11,0))</f>
        <v>414</v>
      </c>
      <c r="I11" s="9" t="n">
        <f aca="false">DATE(2026,9,30)-E11</f>
        <v>24</v>
      </c>
      <c r="J11" s="4" t="s">
        <v>112</v>
      </c>
      <c r="K11" s="4" t="str">
        <f aca="false">IF(J11="Inactive","",IF(F11&gt;=200000,"High",IF(F11&gt;=50000,"Medium","Low")))</f>
        <v>Medium</v>
      </c>
    </row>
    <row r="12" customFormat="false" ht="15" hidden="false" customHeight="false" outlineLevel="0" collapsed="false">
      <c r="A12" s="6" t="s">
        <v>52</v>
      </c>
      <c r="B12" s="6" t="s">
        <v>53</v>
      </c>
      <c r="C12" s="6" t="s">
        <v>39</v>
      </c>
      <c r="D12" s="6" t="s">
        <v>29</v>
      </c>
      <c r="E12" s="7" t="n">
        <v>46274</v>
      </c>
      <c r="F12" s="10" t="n">
        <v>524600</v>
      </c>
      <c r="G12" s="10" t="n">
        <v>1890</v>
      </c>
      <c r="H12" s="10" t="n">
        <f aca="false">IF(G12=0,"",ROUND(F12/G12,0))</f>
        <v>278</v>
      </c>
      <c r="I12" s="11" t="n">
        <f aca="false">DATE(2026,9,30)-E12</f>
        <v>21</v>
      </c>
      <c r="J12" s="6" t="s">
        <v>112</v>
      </c>
      <c r="K12" s="6" t="str">
        <f aca="false">IF(J12="Inactive","",IF(F12&gt;=200000,"High",IF(F12&gt;=50000,"Medium","Low")))</f>
        <v>High</v>
      </c>
    </row>
    <row r="13" customFormat="false" ht="15" hidden="false" customHeight="false" outlineLevel="0" collapsed="false">
      <c r="A13" s="4" t="s">
        <v>54</v>
      </c>
      <c r="B13" s="4" t="s">
        <v>55</v>
      </c>
      <c r="C13" s="4" t="s">
        <v>17</v>
      </c>
      <c r="D13" s="4" t="s">
        <v>18</v>
      </c>
      <c r="E13" s="5" t="n">
        <v>46275</v>
      </c>
      <c r="F13" s="8" t="n">
        <v>231900</v>
      </c>
      <c r="G13" s="8" t="n">
        <v>2140</v>
      </c>
      <c r="H13" s="8" t="n">
        <f aca="false">IF(G13=0,"",ROUND(F13/G13,0))</f>
        <v>108</v>
      </c>
      <c r="I13" s="9" t="n">
        <f aca="false">DATE(2026,9,30)-E13</f>
        <v>20</v>
      </c>
      <c r="J13" s="4" t="s">
        <v>112</v>
      </c>
      <c r="K13" s="4" t="str">
        <f aca="false">IF(J13="Inactive","",IF(F13&gt;=200000,"High",IF(F13&gt;=50000,"Medium","Low")))</f>
        <v>High</v>
      </c>
    </row>
    <row r="14" customFormat="false" ht="15" hidden="false" customHeight="false" outlineLevel="0" collapsed="false">
      <c r="A14" s="6" t="s">
        <v>57</v>
      </c>
      <c r="B14" s="6" t="s">
        <v>58</v>
      </c>
      <c r="C14" s="6" t="s">
        <v>49</v>
      </c>
      <c r="D14" s="6" t="s">
        <v>18</v>
      </c>
      <c r="E14" s="7" t="n">
        <v>46285</v>
      </c>
      <c r="F14" s="10" t="n">
        <v>0</v>
      </c>
      <c r="G14" s="10" t="n">
        <v>0</v>
      </c>
      <c r="H14" s="10" t="str">
        <f aca="false">IF(G14=0,"",ROUND(F14/G14,0))</f>
        <v/>
      </c>
      <c r="I14" s="11" t="n">
        <f aca="false">DATE(2026,9,30)-E14</f>
        <v>10</v>
      </c>
      <c r="J14" s="6" t="s">
        <v>113</v>
      </c>
      <c r="K14" s="6" t="str">
        <f aca="false">IF(J14="Inactive","",IF(F14&gt;=200000,"High",IF(F14&gt;=50000,"Medium","Low")))</f>
        <v/>
      </c>
    </row>
    <row r="15" customFormat="false" ht="15" hidden="false" customHeight="false" outlineLevel="0" collapsed="false">
      <c r="A15" s="4" t="s">
        <v>60</v>
      </c>
      <c r="B15" s="4" t="s">
        <v>61</v>
      </c>
      <c r="C15" s="4" t="s">
        <v>28</v>
      </c>
      <c r="D15" s="4" t="s">
        <v>63</v>
      </c>
      <c r="E15" s="5" t="n">
        <v>46274</v>
      </c>
      <c r="F15" s="8" t="n">
        <v>118000</v>
      </c>
      <c r="G15" s="8" t="n">
        <v>46</v>
      </c>
      <c r="H15" s="8" t="n">
        <f aca="false">IF(G15=0,"",ROUND(F15/G15,0))</f>
        <v>2565</v>
      </c>
      <c r="I15" s="9" t="n">
        <f aca="false">DATE(2026,9,30)-E15</f>
        <v>21</v>
      </c>
      <c r="J15" s="4" t="s">
        <v>112</v>
      </c>
      <c r="K15" s="4" t="str">
        <f aca="false">IF(J15="Inactive","",IF(F15&gt;=200000,"High",IF(F15&gt;=50000,"Medium","Low")))</f>
        <v>Medium</v>
      </c>
    </row>
    <row r="16" customFormat="false" ht="15" hidden="false" customHeight="false" outlineLevel="0" collapsed="false">
      <c r="A16" s="6" t="s">
        <v>64</v>
      </c>
      <c r="B16" s="6" t="s">
        <v>65</v>
      </c>
      <c r="C16" s="6" t="s">
        <v>44</v>
      </c>
      <c r="D16" s="6" t="s">
        <v>18</v>
      </c>
      <c r="E16" s="7" t="n">
        <v>46276</v>
      </c>
      <c r="F16" s="10" t="n">
        <v>97600</v>
      </c>
      <c r="G16" s="10" t="n">
        <v>1530</v>
      </c>
      <c r="H16" s="10" t="n">
        <f aca="false">IF(G16=0,"",ROUND(F16/G16,0))</f>
        <v>64</v>
      </c>
      <c r="I16" s="11" t="n">
        <f aca="false">DATE(2026,9,30)-E16</f>
        <v>19</v>
      </c>
      <c r="J16" s="6" t="s">
        <v>112</v>
      </c>
      <c r="K16" s="6" t="str">
        <f aca="false">IF(J16="Inactive","",IF(F16&gt;=200000,"High",IF(F16&gt;=50000,"Medium","Low")))</f>
        <v>Medium</v>
      </c>
    </row>
    <row r="17" customFormat="false" ht="15" hidden="false" customHeight="false" outlineLevel="0" collapsed="false">
      <c r="A17" s="4" t="s">
        <v>67</v>
      </c>
      <c r="B17" s="4" t="s">
        <v>68</v>
      </c>
      <c r="C17" s="4" t="s">
        <v>39</v>
      </c>
      <c r="D17" s="4" t="s">
        <v>29</v>
      </c>
      <c r="E17" s="5" t="n">
        <v>46289</v>
      </c>
      <c r="F17" s="8" t="n">
        <v>0</v>
      </c>
      <c r="G17" s="8" t="n">
        <v>0</v>
      </c>
      <c r="H17" s="8" t="str">
        <f aca="false">IF(G17=0,"",ROUND(F17/G17,0))</f>
        <v/>
      </c>
      <c r="I17" s="9" t="n">
        <f aca="false">DATE(2026,9,30)-E17</f>
        <v>6</v>
      </c>
      <c r="J17" s="4" t="s">
        <v>113</v>
      </c>
      <c r="K17" s="4" t="str">
        <f aca="false">IF(J17="Inactive","",IF(F17&gt;=200000,"High",IF(F17&gt;=50000,"Medium","Low")))</f>
        <v/>
      </c>
    </row>
    <row r="18" customFormat="false" ht="15" hidden="false" customHeight="false" outlineLevel="0" collapsed="false">
      <c r="A18" s="6" t="s">
        <v>70</v>
      </c>
      <c r="B18" s="6" t="s">
        <v>71</v>
      </c>
      <c r="C18" s="6" t="s">
        <v>49</v>
      </c>
      <c r="D18" s="6" t="s">
        <v>29</v>
      </c>
      <c r="E18" s="7" t="n">
        <v>46283</v>
      </c>
      <c r="F18" s="10" t="n">
        <v>1245000</v>
      </c>
      <c r="G18" s="10" t="n">
        <v>58</v>
      </c>
      <c r="H18" s="10" t="n">
        <f aca="false">IF(G18=0,"",ROUND(F18/G18,0))</f>
        <v>21466</v>
      </c>
      <c r="I18" s="11" t="n">
        <f aca="false">DATE(2026,9,30)-E18</f>
        <v>12</v>
      </c>
      <c r="J18" s="6" t="s">
        <v>112</v>
      </c>
      <c r="K18" s="6" t="str">
        <f aca="false">IF(J18="Inactive","",IF(F18&gt;=200000,"High",IF(F18&gt;=50000,"Medium","Low")))</f>
        <v>High</v>
      </c>
    </row>
    <row r="19" customFormat="false" ht="15" hidden="false" customHeight="false" outlineLevel="0" collapsed="false">
      <c r="A19" s="4" t="s">
        <v>73</v>
      </c>
      <c r="B19" s="4" t="s">
        <v>74</v>
      </c>
      <c r="C19" s="4" t="s">
        <v>17</v>
      </c>
      <c r="D19" s="4" t="s">
        <v>50</v>
      </c>
      <c r="E19" s="5" t="n">
        <v>46278</v>
      </c>
      <c r="F19" s="8" t="n">
        <v>0</v>
      </c>
      <c r="G19" s="8" t="n">
        <v>0</v>
      </c>
      <c r="H19" s="8" t="str">
        <f aca="false">IF(G19=0,"",ROUND(F19/G19,0))</f>
        <v/>
      </c>
      <c r="I19" s="9" t="n">
        <f aca="false">DATE(2026,9,30)-E19</f>
        <v>17</v>
      </c>
      <c r="J19" s="4" t="s">
        <v>113</v>
      </c>
      <c r="K19" s="4" t="str">
        <f aca="false">IF(J19="Inactive","",IF(F19&gt;=200000,"High",IF(F19&gt;=50000,"Medium","Low")))</f>
        <v/>
      </c>
    </row>
    <row r="20" customFormat="false" ht="15" hidden="false" customHeight="false" outlineLevel="0" collapsed="false">
      <c r="A20" s="6" t="s">
        <v>76</v>
      </c>
      <c r="B20" s="6" t="s">
        <v>77</v>
      </c>
      <c r="C20" s="6" t="s">
        <v>28</v>
      </c>
      <c r="D20" s="6" t="s">
        <v>63</v>
      </c>
      <c r="E20" s="7" t="n">
        <v>46278</v>
      </c>
      <c r="F20" s="10" t="n">
        <v>84000</v>
      </c>
      <c r="G20" s="10" t="n">
        <v>42</v>
      </c>
      <c r="H20" s="10" t="n">
        <f aca="false">IF(G20=0,"",ROUND(F20/G20,0))</f>
        <v>2000</v>
      </c>
      <c r="I20" s="11" t="n">
        <f aca="false">DATE(2026,9,30)-E20</f>
        <v>17</v>
      </c>
      <c r="J20" s="6" t="s">
        <v>112</v>
      </c>
      <c r="K20" s="6" t="str">
        <f aca="false">IF(J20="Inactive","",IF(F20&gt;=200000,"High",IF(F20&gt;=50000,"Medium","Low")))</f>
        <v>Medium</v>
      </c>
    </row>
    <row r="21" customFormat="false" ht="15" hidden="false" customHeight="false" outlineLevel="0" collapsed="false">
      <c r="A21" s="4" t="s">
        <v>79</v>
      </c>
      <c r="B21" s="4" t="s">
        <v>80</v>
      </c>
      <c r="C21" s="4" t="s">
        <v>44</v>
      </c>
      <c r="D21" s="4" t="s">
        <v>50</v>
      </c>
      <c r="E21" s="5" t="n">
        <v>46279</v>
      </c>
      <c r="F21" s="8" t="n">
        <v>38900</v>
      </c>
      <c r="G21" s="8" t="n">
        <v>920</v>
      </c>
      <c r="H21" s="8" t="n">
        <f aca="false">IF(G21=0,"",ROUND(F21/G21,0))</f>
        <v>42</v>
      </c>
      <c r="I21" s="9" t="n">
        <f aca="false">DATE(2026,9,30)-E21</f>
        <v>16</v>
      </c>
      <c r="J21" s="4" t="s">
        <v>112</v>
      </c>
      <c r="K21" s="4" t="str">
        <f aca="false">IF(J21="Inactive","",IF(F21&gt;=200000,"High",IF(F21&gt;=50000,"Medium","Low")))</f>
        <v>Low</v>
      </c>
    </row>
    <row r="22" customFormat="false" ht="15" hidden="false" customHeight="false" outlineLevel="0" collapsed="false">
      <c r="A22" s="6" t="s">
        <v>82</v>
      </c>
      <c r="B22" s="6" t="s">
        <v>83</v>
      </c>
      <c r="C22" s="6" t="s">
        <v>49</v>
      </c>
      <c r="D22" s="6" t="s">
        <v>29</v>
      </c>
      <c r="E22" s="7" t="n">
        <v>46288</v>
      </c>
      <c r="F22" s="10" t="n">
        <v>186300</v>
      </c>
      <c r="G22" s="10" t="n">
        <v>402</v>
      </c>
      <c r="H22" s="10" t="n">
        <f aca="false">IF(G22=0,"",ROUND(F22/G22,0))</f>
        <v>463</v>
      </c>
      <c r="I22" s="11" t="n">
        <f aca="false">DATE(2026,9,30)-E22</f>
        <v>7</v>
      </c>
      <c r="J22" s="6" t="s">
        <v>112</v>
      </c>
      <c r="K22" s="6" t="str">
        <f aca="false">IF(J22="Inactive","",IF(F22&gt;=200000,"High",IF(F22&gt;=50000,"Medium","Low")))</f>
        <v>Medium</v>
      </c>
    </row>
    <row r="23" customFormat="false" ht="15" hidden="false" customHeight="false" outlineLevel="0" collapsed="false">
      <c r="A23" s="4" t="s">
        <v>88</v>
      </c>
      <c r="B23" s="4" t="s">
        <v>89</v>
      </c>
      <c r="C23" s="4" t="s">
        <v>17</v>
      </c>
      <c r="D23" s="4" t="s">
        <v>18</v>
      </c>
      <c r="E23" s="5" t="n">
        <v>46284</v>
      </c>
      <c r="F23" s="8" t="n">
        <v>14200</v>
      </c>
      <c r="G23" s="8" t="n">
        <v>61</v>
      </c>
      <c r="H23" s="8" t="n">
        <f aca="false">IF(G23=0,"",ROUND(F23/G23,0))</f>
        <v>233</v>
      </c>
      <c r="I23" s="9" t="n">
        <f aca="false">DATE(2026,9,30)-E23</f>
        <v>11</v>
      </c>
      <c r="J23" s="4" t="s">
        <v>112</v>
      </c>
      <c r="K23" s="4" t="str">
        <f aca="false">IF(J23="Inactive","",IF(F23&gt;=200000,"High",IF(F23&gt;=50000,"Medium","Low")))</f>
        <v>Low</v>
      </c>
    </row>
    <row r="24" customFormat="false" ht="15" hidden="false" customHeight="false" outlineLevel="0" collapsed="false">
      <c r="A24" s="6" t="s">
        <v>90</v>
      </c>
      <c r="B24" s="6" t="s">
        <v>91</v>
      </c>
      <c r="C24" s="6" t="s">
        <v>28</v>
      </c>
      <c r="D24" s="6" t="s">
        <v>50</v>
      </c>
      <c r="E24" s="7" t="n">
        <v>46284</v>
      </c>
      <c r="F24" s="10" t="n">
        <v>52700</v>
      </c>
      <c r="G24" s="10" t="n">
        <v>388</v>
      </c>
      <c r="H24" s="10" t="n">
        <f aca="false">IF(G24=0,"",ROUND(F24/G24,0))</f>
        <v>136</v>
      </c>
      <c r="I24" s="11" t="n">
        <f aca="false">DATE(2026,9,30)-E24</f>
        <v>11</v>
      </c>
      <c r="J24" s="6" t="s">
        <v>112</v>
      </c>
      <c r="K24" s="6" t="str">
        <f aca="false">IF(J24="Inactive","",IF(F24&gt;=200000,"High",IF(F24&gt;=50000,"Medium","Low")))</f>
        <v>Medium</v>
      </c>
    </row>
    <row r="25" customFormat="false" ht="15" hidden="false" customHeight="false" outlineLevel="0" collapsed="false">
      <c r="A25" s="4" t="s">
        <v>97</v>
      </c>
      <c r="B25" s="4" t="s">
        <v>98</v>
      </c>
      <c r="C25" s="4" t="s">
        <v>49</v>
      </c>
      <c r="D25" s="4" t="s">
        <v>29</v>
      </c>
      <c r="E25" s="5" t="n">
        <v>46294</v>
      </c>
      <c r="F25" s="8" t="n">
        <v>0</v>
      </c>
      <c r="G25" s="8" t="n">
        <v>0</v>
      </c>
      <c r="H25" s="8" t="str">
        <f aca="false">IF(G25=0,"",ROUND(F25/G25,0))</f>
        <v/>
      </c>
      <c r="I25" s="9" t="n">
        <f aca="false">DATE(2026,9,30)-E25</f>
        <v>1</v>
      </c>
      <c r="J25" s="4" t="s">
        <v>113</v>
      </c>
      <c r="K25" s="4" t="str">
        <f aca="false">IF(J25="Inactive","",IF(F25&gt;=200000,"High",IF(F25&gt;=50000,"Medium","Low")))</f>
        <v/>
      </c>
    </row>
    <row r="26" customFormat="false" ht="15" hidden="false" customHeight="false" outlineLevel="0" collapsed="false">
      <c r="A26" s="6" t="s">
        <v>100</v>
      </c>
      <c r="B26" s="6" t="s">
        <v>101</v>
      </c>
      <c r="C26" s="6" t="s">
        <v>17</v>
      </c>
      <c r="D26" s="6" t="s">
        <v>18</v>
      </c>
      <c r="E26" s="7" t="n">
        <v>46290</v>
      </c>
      <c r="F26" s="10" t="n">
        <v>48300</v>
      </c>
      <c r="G26" s="10" t="n">
        <v>402</v>
      </c>
      <c r="H26" s="10" t="n">
        <f aca="false">IF(G26=0,"",ROUND(F26/G26,0))</f>
        <v>120</v>
      </c>
      <c r="I26" s="11" t="n">
        <f aca="false">DATE(2026,9,30)-E26</f>
        <v>5</v>
      </c>
      <c r="J26" s="6" t="s">
        <v>112</v>
      </c>
      <c r="K26" s="6" t="str">
        <f aca="false">IF(J26="Inactive","",IF(F26&gt;=200000,"High",IF(F26&gt;=50000,"Medium","Low")))</f>
        <v>Low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7" min="6" style="0" width="18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48"/>
  </cols>
  <sheetData>
    <row r="1" customFormat="false" ht="27.7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115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116</v>
      </c>
      <c r="B4" s="3" t="s">
        <v>117</v>
      </c>
      <c r="C4" s="3" t="s">
        <v>7</v>
      </c>
      <c r="D4" s="3" t="s">
        <v>118</v>
      </c>
      <c r="E4" s="3" t="s">
        <v>5</v>
      </c>
      <c r="F4" s="3" t="s">
        <v>119</v>
      </c>
      <c r="G4" s="3" t="s">
        <v>120</v>
      </c>
      <c r="H4" s="3" t="s">
        <v>121</v>
      </c>
      <c r="I4" s="3" t="s">
        <v>122</v>
      </c>
      <c r="J4" s="3" t="s">
        <v>123</v>
      </c>
    </row>
    <row r="5" customFormat="false" ht="15" hidden="false" customHeight="false" outlineLevel="0" collapsed="false">
      <c r="A5" s="4" t="s">
        <v>124</v>
      </c>
      <c r="B5" s="5" t="n">
        <v>46286</v>
      </c>
      <c r="C5" s="4" t="s">
        <v>19</v>
      </c>
      <c r="D5" s="4" t="s">
        <v>74</v>
      </c>
      <c r="E5" s="4" t="s">
        <v>17</v>
      </c>
      <c r="F5" s="4" t="s">
        <v>125</v>
      </c>
      <c r="G5" s="4" t="s">
        <v>126</v>
      </c>
      <c r="H5" s="4" t="s">
        <v>127</v>
      </c>
      <c r="I5" s="5" t="s">
        <v>128</v>
      </c>
      <c r="J5" s="4" t="s">
        <v>129</v>
      </c>
    </row>
    <row r="6" customFormat="false" ht="15" hidden="false" customHeight="false" outlineLevel="0" collapsed="false">
      <c r="A6" s="6" t="s">
        <v>130</v>
      </c>
      <c r="B6" s="7" t="n">
        <v>46287</v>
      </c>
      <c r="C6" s="6" t="s">
        <v>40</v>
      </c>
      <c r="D6" s="6" t="s">
        <v>68</v>
      </c>
      <c r="E6" s="6" t="s">
        <v>39</v>
      </c>
      <c r="F6" s="6" t="s">
        <v>131</v>
      </c>
      <c r="G6" s="6" t="s">
        <v>132</v>
      </c>
      <c r="H6" s="6" t="s">
        <v>128</v>
      </c>
      <c r="I6" s="7" t="n">
        <v>46289</v>
      </c>
      <c r="J6" s="6" t="s">
        <v>133</v>
      </c>
    </row>
    <row r="7" customFormat="false" ht="15" hidden="false" customHeight="false" outlineLevel="0" collapsed="false">
      <c r="A7" s="4" t="s">
        <v>134</v>
      </c>
      <c r="B7" s="5" t="n">
        <v>46287</v>
      </c>
      <c r="C7" s="4" t="s">
        <v>30</v>
      </c>
      <c r="D7" s="4" t="s">
        <v>32</v>
      </c>
      <c r="E7" s="4" t="s">
        <v>28</v>
      </c>
      <c r="F7" s="4" t="s">
        <v>125</v>
      </c>
      <c r="G7" s="4" t="s">
        <v>126</v>
      </c>
      <c r="H7" s="4" t="s">
        <v>135</v>
      </c>
      <c r="I7" s="5" t="n">
        <v>46294</v>
      </c>
      <c r="J7" s="4" t="s">
        <v>136</v>
      </c>
    </row>
    <row r="8" customFormat="false" ht="15" hidden="false" customHeight="false" outlineLevel="0" collapsed="false">
      <c r="A8" s="6" t="s">
        <v>137</v>
      </c>
      <c r="B8" s="7" t="n">
        <v>46288</v>
      </c>
      <c r="C8" s="6" t="s">
        <v>51</v>
      </c>
      <c r="D8" s="6" t="s">
        <v>58</v>
      </c>
      <c r="E8" s="6" t="s">
        <v>49</v>
      </c>
      <c r="F8" s="6" t="s">
        <v>125</v>
      </c>
      <c r="G8" s="6" t="s">
        <v>126</v>
      </c>
      <c r="H8" s="6" t="s">
        <v>138</v>
      </c>
      <c r="I8" s="7" t="s">
        <v>128</v>
      </c>
      <c r="J8" s="6" t="s">
        <v>139</v>
      </c>
    </row>
    <row r="9" customFormat="false" ht="15" hidden="false" customHeight="false" outlineLevel="0" collapsed="false">
      <c r="A9" s="4" t="s">
        <v>140</v>
      </c>
      <c r="B9" s="5" t="n">
        <v>46288</v>
      </c>
      <c r="C9" s="4" t="s">
        <v>45</v>
      </c>
      <c r="D9" s="4" t="s">
        <v>94</v>
      </c>
      <c r="E9" s="4" t="s">
        <v>44</v>
      </c>
      <c r="F9" s="4" t="s">
        <v>141</v>
      </c>
      <c r="G9" s="4" t="s">
        <v>142</v>
      </c>
      <c r="H9" s="4" t="s">
        <v>143</v>
      </c>
      <c r="I9" s="5" t="n">
        <v>46295</v>
      </c>
      <c r="J9" s="4" t="s">
        <v>144</v>
      </c>
    </row>
    <row r="10" customFormat="false" ht="15" hidden="false" customHeight="false" outlineLevel="0" collapsed="false">
      <c r="A10" s="6" t="s">
        <v>145</v>
      </c>
      <c r="B10" s="7" t="n">
        <v>46289</v>
      </c>
      <c r="C10" s="6" t="s">
        <v>19</v>
      </c>
      <c r="D10" s="6" t="s">
        <v>89</v>
      </c>
      <c r="E10" s="6" t="s">
        <v>17</v>
      </c>
      <c r="F10" s="6" t="s">
        <v>125</v>
      </c>
      <c r="G10" s="6" t="s">
        <v>146</v>
      </c>
      <c r="H10" s="6" t="s">
        <v>147</v>
      </c>
      <c r="I10" s="7" t="n">
        <v>46291</v>
      </c>
      <c r="J10" s="6" t="s">
        <v>148</v>
      </c>
    </row>
    <row r="11" customFormat="false" ht="15" hidden="false" customHeight="false" outlineLevel="0" collapsed="false">
      <c r="A11" s="4" t="s">
        <v>149</v>
      </c>
      <c r="B11" s="5" t="n">
        <v>46289</v>
      </c>
      <c r="C11" s="4" t="s">
        <v>40</v>
      </c>
      <c r="D11" s="4" t="s">
        <v>85</v>
      </c>
      <c r="E11" s="4" t="s">
        <v>39</v>
      </c>
      <c r="F11" s="4" t="s">
        <v>150</v>
      </c>
      <c r="G11" s="4" t="s">
        <v>151</v>
      </c>
      <c r="H11" s="4" t="s">
        <v>128</v>
      </c>
      <c r="I11" s="5" t="n">
        <v>46296</v>
      </c>
      <c r="J11" s="4" t="s">
        <v>152</v>
      </c>
    </row>
    <row r="12" customFormat="false" ht="15" hidden="false" customHeight="false" outlineLevel="0" collapsed="false">
      <c r="A12" s="6" t="s">
        <v>153</v>
      </c>
      <c r="B12" s="7" t="n">
        <v>46290</v>
      </c>
      <c r="C12" s="6" t="s">
        <v>51</v>
      </c>
      <c r="D12" s="6" t="s">
        <v>83</v>
      </c>
      <c r="E12" s="6" t="s">
        <v>49</v>
      </c>
      <c r="F12" s="6" t="s">
        <v>154</v>
      </c>
      <c r="G12" s="6" t="s">
        <v>20</v>
      </c>
      <c r="H12" s="6" t="s">
        <v>155</v>
      </c>
      <c r="I12" s="7" t="s">
        <v>128</v>
      </c>
      <c r="J12" s="6" t="s">
        <v>156</v>
      </c>
    </row>
    <row r="13" customFormat="false" ht="15" hidden="false" customHeight="false" outlineLevel="0" collapsed="false">
      <c r="A13" s="4" t="s">
        <v>157</v>
      </c>
      <c r="B13" s="5" t="n">
        <v>46291</v>
      </c>
      <c r="C13" s="4" t="s">
        <v>30</v>
      </c>
      <c r="D13" s="4" t="s">
        <v>26</v>
      </c>
      <c r="E13" s="4" t="s">
        <v>28</v>
      </c>
      <c r="F13" s="4" t="s">
        <v>158</v>
      </c>
      <c r="G13" s="4" t="s">
        <v>159</v>
      </c>
      <c r="H13" s="4" t="s">
        <v>128</v>
      </c>
      <c r="I13" s="5" t="n">
        <v>46298</v>
      </c>
      <c r="J13" s="4" t="s">
        <v>160</v>
      </c>
    </row>
    <row r="14" customFormat="false" ht="15" hidden="false" customHeight="false" outlineLevel="0" collapsed="false">
      <c r="A14" s="6" t="s">
        <v>161</v>
      </c>
      <c r="B14" s="7" t="n">
        <v>46291</v>
      </c>
      <c r="C14" s="6" t="s">
        <v>45</v>
      </c>
      <c r="D14" s="6" t="s">
        <v>42</v>
      </c>
      <c r="E14" s="6" t="s">
        <v>44</v>
      </c>
      <c r="F14" s="6" t="s">
        <v>154</v>
      </c>
      <c r="G14" s="6" t="s">
        <v>20</v>
      </c>
      <c r="H14" s="6" t="s">
        <v>162</v>
      </c>
      <c r="I14" s="7" t="n">
        <v>46293</v>
      </c>
      <c r="J14" s="6" t="s">
        <v>163</v>
      </c>
    </row>
    <row r="15" customFormat="false" ht="15" hidden="false" customHeight="false" outlineLevel="0" collapsed="false">
      <c r="A15" s="4" t="s">
        <v>164</v>
      </c>
      <c r="B15" s="5" t="n">
        <v>46292</v>
      </c>
      <c r="C15" s="4" t="s">
        <v>19</v>
      </c>
      <c r="D15" s="4" t="s">
        <v>165</v>
      </c>
      <c r="E15" s="4" t="s">
        <v>17</v>
      </c>
      <c r="F15" s="4" t="s">
        <v>166</v>
      </c>
      <c r="G15" s="4" t="s">
        <v>167</v>
      </c>
      <c r="H15" s="4" t="s">
        <v>168</v>
      </c>
      <c r="I15" s="5" t="n">
        <v>46299</v>
      </c>
      <c r="J15" s="4" t="s">
        <v>169</v>
      </c>
    </row>
    <row r="16" customFormat="false" ht="15" hidden="false" customHeight="false" outlineLevel="0" collapsed="false">
      <c r="A16" s="6" t="s">
        <v>170</v>
      </c>
      <c r="B16" s="7" t="n">
        <v>46293</v>
      </c>
      <c r="C16" s="6" t="s">
        <v>40</v>
      </c>
      <c r="D16" s="6" t="s">
        <v>103</v>
      </c>
      <c r="E16" s="6" t="s">
        <v>39</v>
      </c>
      <c r="F16" s="6" t="s">
        <v>141</v>
      </c>
      <c r="G16" s="6" t="s">
        <v>142</v>
      </c>
      <c r="H16" s="6" t="s">
        <v>171</v>
      </c>
      <c r="I16" s="7" t="n">
        <v>46296</v>
      </c>
      <c r="J16" s="6" t="s">
        <v>172</v>
      </c>
    </row>
    <row r="17" customFormat="false" ht="15" hidden="false" customHeight="false" outlineLevel="0" collapsed="false">
      <c r="A17" s="4" t="s">
        <v>173</v>
      </c>
      <c r="B17" s="5" t="n">
        <v>46294</v>
      </c>
      <c r="C17" s="4" t="s">
        <v>51</v>
      </c>
      <c r="D17" s="4" t="s">
        <v>98</v>
      </c>
      <c r="E17" s="4" t="s">
        <v>49</v>
      </c>
      <c r="F17" s="4" t="s">
        <v>150</v>
      </c>
      <c r="G17" s="4" t="s">
        <v>174</v>
      </c>
      <c r="H17" s="4" t="s">
        <v>128</v>
      </c>
      <c r="I17" s="5" t="n">
        <v>46297</v>
      </c>
      <c r="J17" s="4" t="s">
        <v>175</v>
      </c>
    </row>
    <row r="18" customFormat="false" ht="15" hidden="false" customHeight="false" outlineLevel="0" collapsed="false">
      <c r="A18" s="6" t="s">
        <v>176</v>
      </c>
      <c r="B18" s="7" t="n">
        <v>46294</v>
      </c>
      <c r="C18" s="6" t="s">
        <v>30</v>
      </c>
      <c r="D18" s="6" t="s">
        <v>32</v>
      </c>
      <c r="E18" s="6" t="s">
        <v>28</v>
      </c>
      <c r="F18" s="6" t="s">
        <v>125</v>
      </c>
      <c r="G18" s="6" t="s">
        <v>126</v>
      </c>
      <c r="H18" s="6" t="s">
        <v>135</v>
      </c>
      <c r="I18" s="7" t="s">
        <v>128</v>
      </c>
      <c r="J18" s="6" t="s">
        <v>177</v>
      </c>
    </row>
    <row r="19" customFormat="false" ht="15" hidden="false" customHeight="false" outlineLevel="0" collapsed="false">
      <c r="A19" s="4" t="s">
        <v>178</v>
      </c>
      <c r="B19" s="5" t="n">
        <v>46295</v>
      </c>
      <c r="C19" s="4" t="s">
        <v>19</v>
      </c>
      <c r="D19" s="4" t="s">
        <v>74</v>
      </c>
      <c r="E19" s="4" t="s">
        <v>17</v>
      </c>
      <c r="F19" s="4" t="s">
        <v>125</v>
      </c>
      <c r="G19" s="4" t="s">
        <v>126</v>
      </c>
      <c r="H19" s="4" t="s">
        <v>127</v>
      </c>
      <c r="I19" s="5" t="s">
        <v>128</v>
      </c>
      <c r="J19" s="4" t="s">
        <v>179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9"/>
  </cols>
  <sheetData>
    <row r="1" customFormat="false" ht="27.75" hidden="false" customHeight="true" outlineLevel="0" collapsed="false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182</v>
      </c>
      <c r="B4" s="3" t="s">
        <v>7</v>
      </c>
      <c r="C4" s="3" t="s">
        <v>5</v>
      </c>
      <c r="D4" s="3" t="s">
        <v>183</v>
      </c>
      <c r="E4" s="3" t="s">
        <v>184</v>
      </c>
      <c r="F4" s="3" t="s">
        <v>185</v>
      </c>
      <c r="G4" s="3" t="s">
        <v>186</v>
      </c>
      <c r="H4" s="3" t="s">
        <v>187</v>
      </c>
      <c r="I4" s="3" t="s">
        <v>188</v>
      </c>
      <c r="J4" s="3" t="s">
        <v>189</v>
      </c>
      <c r="K4" s="3" t="s">
        <v>190</v>
      </c>
    </row>
    <row r="5" customFormat="false" ht="15" hidden="false" customHeight="false" outlineLevel="0" collapsed="false">
      <c r="A5" s="4" t="s">
        <v>191</v>
      </c>
      <c r="B5" s="4" t="s">
        <v>19</v>
      </c>
      <c r="C5" s="4" t="s">
        <v>17</v>
      </c>
      <c r="D5" s="4" t="s">
        <v>192</v>
      </c>
      <c r="E5" s="9" t="n">
        <v>30</v>
      </c>
      <c r="F5" s="9" t="n">
        <v>32</v>
      </c>
      <c r="G5" s="12" t="n">
        <f aca="false">ROUND(F5/E5*100,1)</f>
        <v>106.7</v>
      </c>
      <c r="H5" s="9" t="n">
        <v>27</v>
      </c>
      <c r="I5" s="12" t="n">
        <f aca="false">ROUND(H5/F5*100,1)</f>
        <v>84.4</v>
      </c>
      <c r="J5" s="13" t="n">
        <v>18.4</v>
      </c>
      <c r="K5" s="9" t="n">
        <v>96</v>
      </c>
    </row>
    <row r="6" customFormat="false" ht="15" hidden="false" customHeight="false" outlineLevel="0" collapsed="false">
      <c r="A6" s="6" t="s">
        <v>191</v>
      </c>
      <c r="B6" s="6" t="s">
        <v>30</v>
      </c>
      <c r="C6" s="6" t="s">
        <v>28</v>
      </c>
      <c r="D6" s="6" t="s">
        <v>192</v>
      </c>
      <c r="E6" s="11" t="n">
        <v>28</v>
      </c>
      <c r="F6" s="11" t="n">
        <v>26</v>
      </c>
      <c r="G6" s="14" t="n">
        <f aca="false">ROUND(F6/E6*100,1)</f>
        <v>92.9</v>
      </c>
      <c r="H6" s="11" t="n">
        <v>22</v>
      </c>
      <c r="I6" s="14" t="n">
        <f aca="false">ROUND(H6/F6*100,1)</f>
        <v>84.6</v>
      </c>
      <c r="J6" s="15" t="n">
        <v>22.8</v>
      </c>
      <c r="K6" s="11" t="n">
        <v>84</v>
      </c>
    </row>
    <row r="7" customFormat="false" ht="15" hidden="false" customHeight="false" outlineLevel="0" collapsed="false">
      <c r="A7" s="4" t="s">
        <v>191</v>
      </c>
      <c r="B7" s="4" t="s">
        <v>40</v>
      </c>
      <c r="C7" s="4" t="s">
        <v>39</v>
      </c>
      <c r="D7" s="4" t="s">
        <v>193</v>
      </c>
      <c r="E7" s="9" t="n">
        <v>35</v>
      </c>
      <c r="F7" s="9" t="n">
        <v>38</v>
      </c>
      <c r="G7" s="12" t="n">
        <f aca="false">ROUND(F7/E7*100,1)</f>
        <v>108.6</v>
      </c>
      <c r="H7" s="9" t="n">
        <v>31</v>
      </c>
      <c r="I7" s="12" t="n">
        <f aca="false">ROUND(H7/F7*100,1)</f>
        <v>81.6</v>
      </c>
      <c r="J7" s="13" t="n">
        <v>41.6</v>
      </c>
      <c r="K7" s="9" t="n">
        <v>110</v>
      </c>
    </row>
    <row r="8" customFormat="false" ht="15" hidden="false" customHeight="false" outlineLevel="0" collapsed="false">
      <c r="A8" s="6" t="s">
        <v>191</v>
      </c>
      <c r="B8" s="6" t="s">
        <v>45</v>
      </c>
      <c r="C8" s="6" t="s">
        <v>44</v>
      </c>
      <c r="D8" s="6" t="s">
        <v>193</v>
      </c>
      <c r="E8" s="11" t="n">
        <v>32</v>
      </c>
      <c r="F8" s="11" t="n">
        <v>30</v>
      </c>
      <c r="G8" s="14" t="n">
        <f aca="false">ROUND(F8/E8*100,1)</f>
        <v>93.8</v>
      </c>
      <c r="H8" s="11" t="n">
        <v>26</v>
      </c>
      <c r="I8" s="14" t="n">
        <f aca="false">ROUND(H8/F8*100,1)</f>
        <v>86.7</v>
      </c>
      <c r="J8" s="15" t="n">
        <v>26.9</v>
      </c>
      <c r="K8" s="11" t="n">
        <v>92</v>
      </c>
    </row>
    <row r="9" customFormat="false" ht="15" hidden="false" customHeight="false" outlineLevel="0" collapsed="false">
      <c r="A9" s="4" t="s">
        <v>191</v>
      </c>
      <c r="B9" s="4" t="s">
        <v>51</v>
      </c>
      <c r="C9" s="4" t="s">
        <v>49</v>
      </c>
      <c r="D9" s="4" t="s">
        <v>192</v>
      </c>
      <c r="E9" s="9" t="n">
        <v>22</v>
      </c>
      <c r="F9" s="9" t="n">
        <v>20</v>
      </c>
      <c r="G9" s="12" t="n">
        <f aca="false">ROUND(F9/E9*100,1)</f>
        <v>90.9</v>
      </c>
      <c r="H9" s="9" t="n">
        <v>15</v>
      </c>
      <c r="I9" s="12" t="n">
        <f aca="false">ROUND(H9/F9*100,1)</f>
        <v>75</v>
      </c>
      <c r="J9" s="13" t="n">
        <v>17.3</v>
      </c>
      <c r="K9" s="9" t="n">
        <v>64</v>
      </c>
    </row>
    <row r="10" customFormat="false" ht="15" hidden="false" customHeight="false" outlineLevel="0" collapsed="false">
      <c r="A10" s="6" t="s">
        <v>194</v>
      </c>
      <c r="B10" s="6" t="s">
        <v>19</v>
      </c>
      <c r="C10" s="6" t="s">
        <v>17</v>
      </c>
      <c r="D10" s="6" t="s">
        <v>192</v>
      </c>
      <c r="E10" s="11" t="n">
        <v>30</v>
      </c>
      <c r="F10" s="11" t="n">
        <v>31</v>
      </c>
      <c r="G10" s="14" t="n">
        <f aca="false">ROUND(F10/E10*100,1)</f>
        <v>103.3</v>
      </c>
      <c r="H10" s="11" t="n">
        <v>26</v>
      </c>
      <c r="I10" s="14" t="n">
        <f aca="false">ROUND(H10/F10*100,1)</f>
        <v>83.9</v>
      </c>
      <c r="J10" s="15" t="n">
        <v>19.2</v>
      </c>
      <c r="K10" s="11" t="n">
        <v>94</v>
      </c>
    </row>
    <row r="11" customFormat="false" ht="15" hidden="false" customHeight="false" outlineLevel="0" collapsed="false">
      <c r="A11" s="4" t="s">
        <v>194</v>
      </c>
      <c r="B11" s="4" t="s">
        <v>30</v>
      </c>
      <c r="C11" s="4" t="s">
        <v>28</v>
      </c>
      <c r="D11" s="4" t="s">
        <v>192</v>
      </c>
      <c r="E11" s="9" t="n">
        <v>28</v>
      </c>
      <c r="F11" s="9" t="n">
        <v>27</v>
      </c>
      <c r="G11" s="12" t="n">
        <f aca="false">ROUND(F11/E11*100,1)</f>
        <v>96.4</v>
      </c>
      <c r="H11" s="9" t="n">
        <v>23</v>
      </c>
      <c r="I11" s="12" t="n">
        <f aca="false">ROUND(H11/F11*100,1)</f>
        <v>85.2</v>
      </c>
      <c r="J11" s="13" t="n">
        <v>24.1</v>
      </c>
      <c r="K11" s="9" t="n">
        <v>86</v>
      </c>
    </row>
    <row r="12" customFormat="false" ht="15" hidden="false" customHeight="false" outlineLevel="0" collapsed="false">
      <c r="A12" s="6" t="s">
        <v>194</v>
      </c>
      <c r="B12" s="6" t="s">
        <v>40</v>
      </c>
      <c r="C12" s="6" t="s">
        <v>39</v>
      </c>
      <c r="D12" s="6" t="s">
        <v>193</v>
      </c>
      <c r="E12" s="11" t="n">
        <v>35</v>
      </c>
      <c r="F12" s="11" t="n">
        <v>36</v>
      </c>
      <c r="G12" s="14" t="n">
        <f aca="false">ROUND(F12/E12*100,1)</f>
        <v>102.9</v>
      </c>
      <c r="H12" s="11" t="n">
        <v>29</v>
      </c>
      <c r="I12" s="14" t="n">
        <f aca="false">ROUND(H12/F12*100,1)</f>
        <v>80.6</v>
      </c>
      <c r="J12" s="15" t="n">
        <v>43</v>
      </c>
      <c r="K12" s="11" t="n">
        <v>108</v>
      </c>
    </row>
    <row r="13" customFormat="false" ht="15" hidden="false" customHeight="false" outlineLevel="0" collapsed="false">
      <c r="A13" s="4" t="s">
        <v>194</v>
      </c>
      <c r="B13" s="4" t="s">
        <v>45</v>
      </c>
      <c r="C13" s="4" t="s">
        <v>44</v>
      </c>
      <c r="D13" s="4" t="s">
        <v>193</v>
      </c>
      <c r="E13" s="9" t="n">
        <v>32</v>
      </c>
      <c r="F13" s="9" t="n">
        <v>33</v>
      </c>
      <c r="G13" s="12" t="n">
        <f aca="false">ROUND(F13/E13*100,1)</f>
        <v>103.1</v>
      </c>
      <c r="H13" s="9" t="n">
        <v>28</v>
      </c>
      <c r="I13" s="12" t="n">
        <f aca="false">ROUND(H13/F13*100,1)</f>
        <v>84.8</v>
      </c>
      <c r="J13" s="13" t="n">
        <v>28.4</v>
      </c>
      <c r="K13" s="9" t="n">
        <v>97</v>
      </c>
    </row>
    <row r="14" customFormat="false" ht="15" hidden="false" customHeight="false" outlineLevel="0" collapsed="false">
      <c r="A14" s="6" t="s">
        <v>194</v>
      </c>
      <c r="B14" s="6" t="s">
        <v>51</v>
      </c>
      <c r="C14" s="6" t="s">
        <v>49</v>
      </c>
      <c r="D14" s="6" t="s">
        <v>192</v>
      </c>
      <c r="E14" s="11" t="n">
        <v>22</v>
      </c>
      <c r="F14" s="11" t="n">
        <v>23</v>
      </c>
      <c r="G14" s="14" t="n">
        <f aca="false">ROUND(F14/E14*100,1)</f>
        <v>104.5</v>
      </c>
      <c r="H14" s="11" t="n">
        <v>17</v>
      </c>
      <c r="I14" s="14" t="n">
        <f aca="false">ROUND(H14/F14*100,1)</f>
        <v>73.9</v>
      </c>
      <c r="J14" s="15" t="n">
        <v>18.1</v>
      </c>
      <c r="K14" s="11" t="n">
        <v>70</v>
      </c>
    </row>
    <row r="15" customFormat="false" ht="15" hidden="false" customHeight="false" outlineLevel="0" collapsed="false">
      <c r="A15" s="4" t="s">
        <v>195</v>
      </c>
      <c r="B15" s="4" t="s">
        <v>19</v>
      </c>
      <c r="C15" s="4" t="s">
        <v>17</v>
      </c>
      <c r="D15" s="4" t="s">
        <v>192</v>
      </c>
      <c r="E15" s="9" t="n">
        <v>32</v>
      </c>
      <c r="F15" s="9" t="n">
        <v>34</v>
      </c>
      <c r="G15" s="12" t="n">
        <f aca="false">ROUND(F15/E15*100,1)</f>
        <v>106.3</v>
      </c>
      <c r="H15" s="9" t="n">
        <v>25</v>
      </c>
      <c r="I15" s="12" t="n">
        <f aca="false">ROUND(H15/F15*100,1)</f>
        <v>73.5</v>
      </c>
      <c r="J15" s="13" t="n">
        <v>21.6</v>
      </c>
      <c r="K15" s="9" t="n">
        <v>102</v>
      </c>
    </row>
    <row r="16" customFormat="false" ht="15" hidden="false" customHeight="false" outlineLevel="0" collapsed="false">
      <c r="A16" s="6" t="s">
        <v>195</v>
      </c>
      <c r="B16" s="6" t="s">
        <v>30</v>
      </c>
      <c r="C16" s="6" t="s">
        <v>28</v>
      </c>
      <c r="D16" s="6" t="s">
        <v>192</v>
      </c>
      <c r="E16" s="11" t="n">
        <v>30</v>
      </c>
      <c r="F16" s="11" t="n">
        <v>29</v>
      </c>
      <c r="G16" s="14" t="n">
        <f aca="false">ROUND(F16/E16*100,1)</f>
        <v>96.7</v>
      </c>
      <c r="H16" s="11" t="n">
        <v>20</v>
      </c>
      <c r="I16" s="14" t="n">
        <f aca="false">ROUND(H16/F16*100,1)</f>
        <v>69</v>
      </c>
      <c r="J16" s="15" t="n">
        <v>25.3</v>
      </c>
      <c r="K16" s="11" t="n">
        <v>91</v>
      </c>
    </row>
    <row r="17" customFormat="false" ht="15" hidden="false" customHeight="false" outlineLevel="0" collapsed="false">
      <c r="A17" s="4" t="s">
        <v>195</v>
      </c>
      <c r="B17" s="4" t="s">
        <v>40</v>
      </c>
      <c r="C17" s="4" t="s">
        <v>39</v>
      </c>
      <c r="D17" s="4" t="s">
        <v>193</v>
      </c>
      <c r="E17" s="9" t="n">
        <v>38</v>
      </c>
      <c r="F17" s="9" t="n">
        <v>33</v>
      </c>
      <c r="G17" s="12" t="n">
        <f aca="false">ROUND(F17/E17*100,1)</f>
        <v>86.8</v>
      </c>
      <c r="H17" s="9" t="n">
        <v>22</v>
      </c>
      <c r="I17" s="12" t="n">
        <f aca="false">ROUND(H17/F17*100,1)</f>
        <v>66.7</v>
      </c>
      <c r="J17" s="13" t="n">
        <v>39.7</v>
      </c>
      <c r="K17" s="9" t="n">
        <v>99</v>
      </c>
    </row>
    <row r="18" customFormat="false" ht="15" hidden="false" customHeight="false" outlineLevel="0" collapsed="false">
      <c r="A18" s="6" t="s">
        <v>195</v>
      </c>
      <c r="B18" s="6" t="s">
        <v>45</v>
      </c>
      <c r="C18" s="6" t="s">
        <v>44</v>
      </c>
      <c r="D18" s="6" t="s">
        <v>193</v>
      </c>
      <c r="E18" s="11" t="n">
        <v>34</v>
      </c>
      <c r="F18" s="11" t="n">
        <v>35</v>
      </c>
      <c r="G18" s="14" t="n">
        <f aca="false">ROUND(F18/E18*100,1)</f>
        <v>102.9</v>
      </c>
      <c r="H18" s="11" t="n">
        <v>30</v>
      </c>
      <c r="I18" s="14" t="n">
        <f aca="false">ROUND(H18/F18*100,1)</f>
        <v>85.7</v>
      </c>
      <c r="J18" s="15" t="n">
        <v>31.2</v>
      </c>
      <c r="K18" s="11" t="n">
        <v>105</v>
      </c>
    </row>
    <row r="19" customFormat="false" ht="15" hidden="false" customHeight="false" outlineLevel="0" collapsed="false">
      <c r="A19" s="4" t="s">
        <v>195</v>
      </c>
      <c r="B19" s="4" t="s">
        <v>51</v>
      </c>
      <c r="C19" s="4" t="s">
        <v>49</v>
      </c>
      <c r="D19" s="4" t="s">
        <v>192</v>
      </c>
      <c r="E19" s="9" t="n">
        <v>24</v>
      </c>
      <c r="F19" s="9" t="n">
        <v>22</v>
      </c>
      <c r="G19" s="12" t="n">
        <f aca="false">ROUND(F19/E19*100,1)</f>
        <v>91.7</v>
      </c>
      <c r="H19" s="9" t="n">
        <v>14</v>
      </c>
      <c r="I19" s="12" t="n">
        <f aca="false">ROUND(H19/F19*100,1)</f>
        <v>63.6</v>
      </c>
      <c r="J19" s="13" t="n">
        <v>19.4</v>
      </c>
      <c r="K19" s="9" t="n">
        <v>68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4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27.75" hidden="false" customHeight="true" outlineLevel="0" collapsed="false">
      <c r="A1" s="1" t="s">
        <v>196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" t="s">
        <v>197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198</v>
      </c>
      <c r="B4" s="3" t="s">
        <v>199</v>
      </c>
      <c r="C4" s="3" t="s">
        <v>200</v>
      </c>
      <c r="D4" s="3" t="s">
        <v>6</v>
      </c>
      <c r="E4" s="3" t="s">
        <v>201</v>
      </c>
      <c r="F4" s="3" t="s">
        <v>202</v>
      </c>
      <c r="G4" s="3" t="s">
        <v>4</v>
      </c>
      <c r="H4" s="3" t="s">
        <v>203</v>
      </c>
      <c r="I4" s="3" t="s">
        <v>204</v>
      </c>
    </row>
    <row r="5" customFormat="false" ht="15" hidden="false" customHeight="false" outlineLevel="0" collapsed="false">
      <c r="A5" s="4" t="s">
        <v>205</v>
      </c>
      <c r="B5" s="5" t="n">
        <v>46280</v>
      </c>
      <c r="C5" s="4" t="s">
        <v>37</v>
      </c>
      <c r="D5" s="4" t="s">
        <v>29</v>
      </c>
      <c r="E5" s="4" t="s">
        <v>206</v>
      </c>
      <c r="F5" s="4" t="s">
        <v>207</v>
      </c>
      <c r="G5" s="4" t="s">
        <v>208</v>
      </c>
      <c r="H5" s="4" t="s">
        <v>209</v>
      </c>
      <c r="I5" s="9" t="n">
        <v>1</v>
      </c>
    </row>
    <row r="6" customFormat="false" ht="15" hidden="false" customHeight="false" outlineLevel="0" collapsed="false">
      <c r="A6" s="6" t="s">
        <v>210</v>
      </c>
      <c r="B6" s="7" t="n">
        <v>46281</v>
      </c>
      <c r="C6" s="6" t="s">
        <v>32</v>
      </c>
      <c r="D6" s="6" t="s">
        <v>29</v>
      </c>
      <c r="E6" s="6" t="s">
        <v>211</v>
      </c>
      <c r="F6" s="6" t="s">
        <v>212</v>
      </c>
      <c r="G6" s="6" t="s">
        <v>213</v>
      </c>
      <c r="H6" s="6" t="s">
        <v>214</v>
      </c>
      <c r="I6" s="11" t="n">
        <f aca="false">DATE(2026,9,30)-B6</f>
        <v>14</v>
      </c>
    </row>
    <row r="7" customFormat="false" ht="15" hidden="false" customHeight="false" outlineLevel="0" collapsed="false">
      <c r="A7" s="4" t="s">
        <v>215</v>
      </c>
      <c r="B7" s="5" t="n">
        <v>46282</v>
      </c>
      <c r="C7" s="4" t="s">
        <v>58</v>
      </c>
      <c r="D7" s="4" t="s">
        <v>18</v>
      </c>
      <c r="E7" s="4" t="s">
        <v>216</v>
      </c>
      <c r="F7" s="4" t="s">
        <v>217</v>
      </c>
      <c r="G7" s="4" t="s">
        <v>218</v>
      </c>
      <c r="H7" s="4" t="s">
        <v>214</v>
      </c>
      <c r="I7" s="9" t="n">
        <f aca="false">DATE(2026,9,30)-B7</f>
        <v>13</v>
      </c>
    </row>
    <row r="8" customFormat="false" ht="15" hidden="false" customHeight="false" outlineLevel="0" collapsed="false">
      <c r="A8" s="6" t="s">
        <v>219</v>
      </c>
      <c r="B8" s="7" t="n">
        <v>46283</v>
      </c>
      <c r="C8" s="6" t="s">
        <v>42</v>
      </c>
      <c r="D8" s="6" t="s">
        <v>18</v>
      </c>
      <c r="E8" s="6" t="s">
        <v>216</v>
      </c>
      <c r="F8" s="6" t="s">
        <v>220</v>
      </c>
      <c r="G8" s="6" t="s">
        <v>213</v>
      </c>
      <c r="H8" s="6" t="s">
        <v>209</v>
      </c>
      <c r="I8" s="11" t="n">
        <v>5</v>
      </c>
    </row>
    <row r="9" customFormat="false" ht="15" hidden="false" customHeight="false" outlineLevel="0" collapsed="false">
      <c r="A9" s="4" t="s">
        <v>221</v>
      </c>
      <c r="B9" s="5" t="n">
        <v>46284</v>
      </c>
      <c r="C9" s="4" t="s">
        <v>65</v>
      </c>
      <c r="D9" s="4" t="s">
        <v>18</v>
      </c>
      <c r="E9" s="4" t="s">
        <v>206</v>
      </c>
      <c r="F9" s="4" t="s">
        <v>222</v>
      </c>
      <c r="G9" s="4" t="s">
        <v>208</v>
      </c>
      <c r="H9" s="4" t="s">
        <v>209</v>
      </c>
      <c r="I9" s="9" t="n">
        <v>0</v>
      </c>
    </row>
    <row r="10" customFormat="false" ht="15" hidden="false" customHeight="false" outlineLevel="0" collapsed="false">
      <c r="A10" s="6" t="s">
        <v>223</v>
      </c>
      <c r="B10" s="7" t="n">
        <v>46285</v>
      </c>
      <c r="C10" s="6" t="s">
        <v>53</v>
      </c>
      <c r="D10" s="6" t="s">
        <v>29</v>
      </c>
      <c r="E10" s="6" t="s">
        <v>224</v>
      </c>
      <c r="F10" s="6" t="s">
        <v>225</v>
      </c>
      <c r="G10" s="6" t="s">
        <v>218</v>
      </c>
      <c r="H10" s="6" t="s">
        <v>209</v>
      </c>
      <c r="I10" s="11" t="n">
        <v>1</v>
      </c>
    </row>
    <row r="11" customFormat="false" ht="15" hidden="false" customHeight="false" outlineLevel="0" collapsed="false">
      <c r="A11" s="4" t="s">
        <v>226</v>
      </c>
      <c r="B11" s="5" t="n">
        <v>46286</v>
      </c>
      <c r="C11" s="4" t="s">
        <v>74</v>
      </c>
      <c r="D11" s="4" t="s">
        <v>50</v>
      </c>
      <c r="E11" s="4" t="s">
        <v>211</v>
      </c>
      <c r="F11" s="4" t="s">
        <v>227</v>
      </c>
      <c r="G11" s="4" t="s">
        <v>228</v>
      </c>
      <c r="H11" s="4" t="s">
        <v>214</v>
      </c>
      <c r="I11" s="9" t="n">
        <f aca="false">DATE(2026,9,30)-B11</f>
        <v>9</v>
      </c>
    </row>
    <row r="12" customFormat="false" ht="15" hidden="false" customHeight="false" outlineLevel="0" collapsed="false">
      <c r="A12" s="6" t="s">
        <v>229</v>
      </c>
      <c r="B12" s="7" t="n">
        <v>46287</v>
      </c>
      <c r="C12" s="6" t="s">
        <v>61</v>
      </c>
      <c r="D12" s="6" t="s">
        <v>63</v>
      </c>
      <c r="E12" s="6" t="s">
        <v>224</v>
      </c>
      <c r="F12" s="6" t="s">
        <v>230</v>
      </c>
      <c r="G12" s="6" t="s">
        <v>208</v>
      </c>
      <c r="H12" s="6" t="s">
        <v>209</v>
      </c>
      <c r="I12" s="11" t="n">
        <v>0</v>
      </c>
    </row>
    <row r="13" customFormat="false" ht="15" hidden="false" customHeight="false" outlineLevel="0" collapsed="false">
      <c r="A13" s="4" t="s">
        <v>231</v>
      </c>
      <c r="B13" s="5" t="n">
        <v>46288</v>
      </c>
      <c r="C13" s="4" t="s">
        <v>89</v>
      </c>
      <c r="D13" s="4" t="s">
        <v>18</v>
      </c>
      <c r="E13" s="4" t="s">
        <v>211</v>
      </c>
      <c r="F13" s="4" t="s">
        <v>232</v>
      </c>
      <c r="G13" s="4" t="s">
        <v>218</v>
      </c>
      <c r="H13" s="4" t="s">
        <v>209</v>
      </c>
      <c r="I13" s="9" t="n">
        <v>1</v>
      </c>
    </row>
    <row r="14" customFormat="false" ht="15" hidden="false" customHeight="false" outlineLevel="0" collapsed="false">
      <c r="A14" s="6" t="s">
        <v>233</v>
      </c>
      <c r="B14" s="7" t="n">
        <v>46289</v>
      </c>
      <c r="C14" s="6" t="s">
        <v>85</v>
      </c>
      <c r="D14" s="6" t="s">
        <v>18</v>
      </c>
      <c r="E14" s="6" t="s">
        <v>216</v>
      </c>
      <c r="F14" s="6" t="s">
        <v>234</v>
      </c>
      <c r="G14" s="6" t="s">
        <v>235</v>
      </c>
      <c r="H14" s="6" t="s">
        <v>214</v>
      </c>
      <c r="I14" s="11" t="n">
        <f aca="false">DATE(2026,9,30)-B14</f>
        <v>6</v>
      </c>
    </row>
    <row r="15" customFormat="false" ht="15" hidden="false" customHeight="false" outlineLevel="0" collapsed="false">
      <c r="A15" s="4" t="s">
        <v>236</v>
      </c>
      <c r="B15" s="5" t="n">
        <v>46290</v>
      </c>
      <c r="C15" s="4" t="s">
        <v>71</v>
      </c>
      <c r="D15" s="4" t="s">
        <v>29</v>
      </c>
      <c r="E15" s="4" t="s">
        <v>216</v>
      </c>
      <c r="F15" s="4" t="s">
        <v>237</v>
      </c>
      <c r="G15" s="4" t="s">
        <v>208</v>
      </c>
      <c r="H15" s="4" t="s">
        <v>209</v>
      </c>
      <c r="I15" s="9" t="n">
        <v>2</v>
      </c>
    </row>
    <row r="16" customFormat="false" ht="15" hidden="false" customHeight="false" outlineLevel="0" collapsed="false">
      <c r="A16" s="6" t="s">
        <v>238</v>
      </c>
      <c r="B16" s="7" t="n">
        <v>46291</v>
      </c>
      <c r="C16" s="6" t="s">
        <v>68</v>
      </c>
      <c r="D16" s="6" t="s">
        <v>29</v>
      </c>
      <c r="E16" s="6" t="s">
        <v>206</v>
      </c>
      <c r="F16" s="6" t="s">
        <v>239</v>
      </c>
      <c r="G16" s="6" t="s">
        <v>235</v>
      </c>
      <c r="H16" s="6" t="s">
        <v>214</v>
      </c>
      <c r="I16" s="11" t="n">
        <f aca="false">DATE(2026,9,30)-B16</f>
        <v>4</v>
      </c>
    </row>
    <row r="17" customFormat="false" ht="15" hidden="false" customHeight="false" outlineLevel="0" collapsed="false">
      <c r="A17" s="4" t="s">
        <v>240</v>
      </c>
      <c r="B17" s="5" t="n">
        <v>46292</v>
      </c>
      <c r="C17" s="4" t="s">
        <v>23</v>
      </c>
      <c r="D17" s="4" t="s">
        <v>18</v>
      </c>
      <c r="E17" s="4" t="s">
        <v>211</v>
      </c>
      <c r="F17" s="4" t="s">
        <v>241</v>
      </c>
      <c r="G17" s="4" t="s">
        <v>235</v>
      </c>
      <c r="H17" s="4" t="s">
        <v>209</v>
      </c>
      <c r="I17" s="9" t="n">
        <v>2</v>
      </c>
    </row>
    <row r="18" customFormat="false" ht="15" hidden="false" customHeight="false" outlineLevel="0" collapsed="false">
      <c r="A18" s="6" t="s">
        <v>242</v>
      </c>
      <c r="B18" s="7" t="n">
        <v>46293</v>
      </c>
      <c r="C18" s="6" t="s">
        <v>55</v>
      </c>
      <c r="D18" s="6" t="s">
        <v>18</v>
      </c>
      <c r="E18" s="6" t="s">
        <v>216</v>
      </c>
      <c r="F18" s="6" t="s">
        <v>243</v>
      </c>
      <c r="G18" s="6" t="s">
        <v>213</v>
      </c>
      <c r="H18" s="6" t="s">
        <v>209</v>
      </c>
      <c r="I18" s="11" t="n">
        <v>0</v>
      </c>
    </row>
    <row r="19" customFormat="false" ht="15" hidden="false" customHeight="false" outlineLevel="0" collapsed="false">
      <c r="A19" s="4" t="s">
        <v>244</v>
      </c>
      <c r="B19" s="5" t="n">
        <v>46294</v>
      </c>
      <c r="C19" s="4" t="s">
        <v>98</v>
      </c>
      <c r="D19" s="4" t="s">
        <v>29</v>
      </c>
      <c r="E19" s="4" t="s">
        <v>211</v>
      </c>
      <c r="F19" s="4" t="s">
        <v>245</v>
      </c>
      <c r="G19" s="4" t="s">
        <v>208</v>
      </c>
      <c r="H19" s="4" t="s">
        <v>214</v>
      </c>
      <c r="I19" s="9" t="n">
        <f aca="false">DATE(2026,9,30)-B19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2026-10-17T05:16:15Z</dcterms:created>
  <dc:creator>openpyxl</dc:creator>
  <dc:description/>
  <dc:language>en-US</dc:language>
  <cp:lastModifiedBy/>
  <dcterms:modified xsi:type="dcterms:W3CDTF">2026-10-17T05:16:15Z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